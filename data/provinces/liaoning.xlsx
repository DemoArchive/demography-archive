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web\辽宁省\"/>
    </mc:Choice>
  </mc:AlternateContent>
  <xr:revisionPtr revIDLastSave="0" documentId="13_ncr:1_{99E5259C-CC5B-48A4-BDA1-7E18307368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3" i="1"/>
</calcChain>
</file>

<file path=xl/sharedStrings.xml><?xml version="1.0" encoding="utf-8"?>
<sst xmlns="http://schemas.openxmlformats.org/spreadsheetml/2006/main" count="5" uniqueCount="5">
  <si>
    <r>
      <rPr>
        <sz val="14"/>
        <color theme="1"/>
        <rFont val="楷体"/>
        <family val="3"/>
        <charset val="134"/>
      </rPr>
      <t>年份</t>
    </r>
    <phoneticPr fontId="4" type="noConversion"/>
  </si>
  <si>
    <r>
      <rPr>
        <sz val="14"/>
        <color theme="1"/>
        <rFont val="楷体"/>
        <family val="3"/>
        <charset val="134"/>
      </rPr>
      <t>出生率（</t>
    </r>
    <r>
      <rPr>
        <sz val="14"/>
        <color theme="1"/>
        <rFont val="Times New Roman"/>
        <family val="1"/>
      </rPr>
      <t>‰</t>
    </r>
    <r>
      <rPr>
        <sz val="14"/>
        <color theme="1"/>
        <rFont val="楷体"/>
        <family val="3"/>
        <charset val="134"/>
      </rPr>
      <t>）</t>
    </r>
    <phoneticPr fontId="4" type="noConversion"/>
  </si>
  <si>
    <r>
      <rPr>
        <sz val="14"/>
        <color theme="1"/>
        <rFont val="楷体"/>
        <family val="3"/>
        <charset val="134"/>
      </rPr>
      <t>总人口（万人）</t>
    </r>
    <phoneticPr fontId="4" type="noConversion"/>
  </si>
  <si>
    <r>
      <rPr>
        <sz val="14"/>
        <color theme="1"/>
        <rFont val="楷体"/>
        <family val="3"/>
        <charset val="134"/>
      </rPr>
      <t>出生人口（万人）</t>
    </r>
    <phoneticPr fontId="4" type="noConversion"/>
  </si>
  <si>
    <r>
      <rPr>
        <b/>
        <sz val="12"/>
        <color theme="1"/>
        <rFont val="楷体"/>
        <family val="3"/>
        <charset val="134"/>
      </rPr>
      <t>表格中</t>
    </r>
    <r>
      <rPr>
        <b/>
        <sz val="12"/>
        <color theme="1"/>
        <rFont val="Times New Roman"/>
        <family val="1"/>
      </rPr>
      <t>1990~2024</t>
    </r>
    <r>
      <rPr>
        <b/>
        <sz val="12"/>
        <color theme="1"/>
        <rFont val="楷体"/>
        <family val="3"/>
        <charset val="134"/>
      </rPr>
      <t>年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数据来源于《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年辽宁省统计年鉴》中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全省历年人口变动抽样调查推算数</t>
    </r>
    <r>
      <rPr>
        <b/>
        <sz val="12"/>
        <color theme="1"/>
        <rFont val="Times New Roman"/>
        <family val="1"/>
      </rPr>
      <t xml:space="preserve"> - 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Times New Roman"/>
        <family val="1"/>
      </rPr>
      <t>1990</t>
    </r>
    <r>
      <rPr>
        <b/>
        <sz val="12"/>
        <color theme="1"/>
        <rFont val="楷体"/>
        <family val="3"/>
        <charset val="134"/>
      </rPr>
      <t>以前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数据来源于《</t>
    </r>
    <r>
      <rPr>
        <b/>
        <sz val="12"/>
        <color theme="1"/>
        <rFont val="Times New Roman"/>
        <family val="1"/>
      </rPr>
      <t>2001</t>
    </r>
    <r>
      <rPr>
        <b/>
        <sz val="12"/>
        <color theme="1"/>
        <rFont val="楷体"/>
        <family val="3"/>
        <charset val="134"/>
      </rPr>
      <t>年辽宁省统计年鉴》中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年末总人口（公安户籍统计数）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。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来源于《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年辽宁省统计年鉴》中对应数据，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通过公式计算得出。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年数据来源于《辽宁省国民经济和社会发展统计公报》，其中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数据来源于原始资料中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年末总人口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来源于对应数据。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</si>
</sst>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"/>
  </numFmts>
  <fonts count="8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14"/>
      <color theme="1"/>
      <name val="楷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Times New Roman"/>
      <family val="1"/>
    </font>
    <font>
      <b/>
      <sz val="12"/>
      <color theme="1"/>
      <name val="楷体"/>
      <family val="3"/>
      <charset val="134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7" fillId="0" borderId="1" xfId="0" applyFont="1" applyBorder="1" applyAlignment="1">
      <alignment horizontal="right" wrapText="1"/>
    </xf>
    <xf numFmtId="0" fontId="5" fillId="0" borderId="0" xfId="0" applyFont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49" fontId="7" fillId="0" borderId="1" xfId="0" applyNumberFormat="1" applyFont="1" applyBorder="1" applyAlignment="1">
      <alignment horizontal="right" vertical="center" wrapText="1"/>
    </xf>
    <xf numFmtId="177" fontId="7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40" workbookViewId="0">
      <selection activeCell="A51" sqref="A51:D51"/>
    </sheetView>
  </sheetViews>
  <sheetFormatPr defaultRowHeight="13.8" x14ac:dyDescent="0.25"/>
  <cols>
    <col min="2" max="2" width="21.21875" bestFit="1" customWidth="1"/>
    <col min="3" max="3" width="18.109375" bestFit="1" customWidth="1"/>
    <col min="4" max="4" width="24.109375" bestFit="1" customWidth="1"/>
  </cols>
  <sheetData>
    <row r="1" spans="1:4" ht="18.600000000000001" x14ac:dyDescent="0.25">
      <c r="A1" s="4" t="s">
        <v>0</v>
      </c>
      <c r="B1" s="4" t="s">
        <v>2</v>
      </c>
      <c r="C1" s="4" t="s">
        <v>1</v>
      </c>
      <c r="D1" s="5" t="s">
        <v>3</v>
      </c>
    </row>
    <row r="2" spans="1:4" ht="18" x14ac:dyDescent="0.35">
      <c r="A2" s="6">
        <v>1978</v>
      </c>
      <c r="B2" s="7">
        <v>3394</v>
      </c>
      <c r="C2" s="2">
        <v>17</v>
      </c>
      <c r="D2" s="5"/>
    </row>
    <row r="3" spans="1:4" ht="18" x14ac:dyDescent="0.25">
      <c r="A3" s="6">
        <v>1979</v>
      </c>
      <c r="B3" s="7">
        <v>3486.9</v>
      </c>
      <c r="C3" s="7">
        <v>18</v>
      </c>
      <c r="D3" s="5">
        <f>(B2+B3)/2*C3/1000</f>
        <v>61.928100000000001</v>
      </c>
    </row>
    <row r="4" spans="1:4" ht="18" x14ac:dyDescent="0.25">
      <c r="A4" s="6">
        <v>1980</v>
      </c>
      <c r="B4" s="7">
        <v>3534.8</v>
      </c>
      <c r="C4" s="7">
        <v>14.1</v>
      </c>
      <c r="D4" s="5">
        <f t="shared" ref="D4:D48" si="0">(B3+B4)/2*C4/1000</f>
        <v>49.502985000000002</v>
      </c>
    </row>
    <row r="5" spans="1:4" ht="18" x14ac:dyDescent="0.25">
      <c r="A5" s="6">
        <v>1981</v>
      </c>
      <c r="B5" s="7">
        <v>3592.1</v>
      </c>
      <c r="C5" s="7">
        <v>16.600000000000001</v>
      </c>
      <c r="D5" s="5">
        <f t="shared" si="0"/>
        <v>59.153270000000006</v>
      </c>
    </row>
    <row r="6" spans="1:4" ht="18" x14ac:dyDescent="0.25">
      <c r="A6" s="6">
        <v>1982</v>
      </c>
      <c r="B6" s="7">
        <v>3629.1</v>
      </c>
      <c r="C6" s="7">
        <v>18.899999999999999</v>
      </c>
      <c r="D6" s="5">
        <f t="shared" si="0"/>
        <v>68.240340000000003</v>
      </c>
    </row>
    <row r="7" spans="1:4" ht="18" x14ac:dyDescent="0.25">
      <c r="A7" s="6">
        <v>1983</v>
      </c>
      <c r="B7" s="7">
        <v>3654.8</v>
      </c>
      <c r="C7" s="7">
        <v>13.4</v>
      </c>
      <c r="D7" s="5">
        <f t="shared" si="0"/>
        <v>48.802129999999998</v>
      </c>
    </row>
    <row r="8" spans="1:4" ht="18" x14ac:dyDescent="0.25">
      <c r="A8" s="6">
        <v>1984</v>
      </c>
      <c r="B8" s="7">
        <v>3686.2</v>
      </c>
      <c r="C8" s="7">
        <v>10.8</v>
      </c>
      <c r="D8" s="5">
        <f t="shared" si="0"/>
        <v>39.641400000000004</v>
      </c>
    </row>
    <row r="9" spans="1:4" ht="18" x14ac:dyDescent="0.25">
      <c r="A9" s="6">
        <v>1985</v>
      </c>
      <c r="B9" s="7">
        <v>3726</v>
      </c>
      <c r="C9" s="7">
        <v>11.9</v>
      </c>
      <c r="D9" s="5">
        <f t="shared" si="0"/>
        <v>44.102590000000006</v>
      </c>
    </row>
    <row r="10" spans="1:4" ht="18" x14ac:dyDescent="0.25">
      <c r="A10" s="6">
        <v>1986</v>
      </c>
      <c r="B10" s="7">
        <v>3777.4</v>
      </c>
      <c r="C10" s="7">
        <v>14.8</v>
      </c>
      <c r="D10" s="5">
        <f t="shared" si="0"/>
        <v>55.525160000000007</v>
      </c>
    </row>
    <row r="11" spans="1:4" ht="18" x14ac:dyDescent="0.25">
      <c r="A11" s="6">
        <v>1987</v>
      </c>
      <c r="B11" s="7">
        <v>3825.5</v>
      </c>
      <c r="C11" s="7">
        <v>17.3</v>
      </c>
      <c r="D11" s="5">
        <f t="shared" si="0"/>
        <v>65.765085000000013</v>
      </c>
    </row>
    <row r="12" spans="1:4" ht="18" x14ac:dyDescent="0.25">
      <c r="A12" s="6">
        <v>1988</v>
      </c>
      <c r="B12" s="7">
        <v>3876</v>
      </c>
      <c r="C12" s="7">
        <v>15.4</v>
      </c>
      <c r="D12" s="5">
        <f t="shared" si="0"/>
        <v>59.301550000000006</v>
      </c>
    </row>
    <row r="13" spans="1:4" ht="18" x14ac:dyDescent="0.25">
      <c r="A13" s="6">
        <v>1989</v>
      </c>
      <c r="B13" s="7">
        <v>3917.3</v>
      </c>
      <c r="C13" s="7">
        <v>14.6</v>
      </c>
      <c r="D13" s="5">
        <f t="shared" si="0"/>
        <v>56.891089999999998</v>
      </c>
    </row>
    <row r="14" spans="1:4" ht="18" x14ac:dyDescent="0.25">
      <c r="A14" s="6">
        <v>1990</v>
      </c>
      <c r="B14" s="8">
        <v>3946</v>
      </c>
      <c r="C14" s="7">
        <v>14.5</v>
      </c>
      <c r="D14" s="5">
        <f t="shared" si="0"/>
        <v>57.008925000000005</v>
      </c>
    </row>
    <row r="15" spans="1:4" ht="18" x14ac:dyDescent="0.25">
      <c r="A15" s="6">
        <v>1991</v>
      </c>
      <c r="B15" s="8">
        <v>3990</v>
      </c>
      <c r="C15" s="7">
        <v>9.9</v>
      </c>
      <c r="D15" s="5">
        <f t="shared" si="0"/>
        <v>39.283200000000008</v>
      </c>
    </row>
    <row r="16" spans="1:4" ht="18" x14ac:dyDescent="0.25">
      <c r="A16" s="6">
        <v>1992</v>
      </c>
      <c r="B16" s="8">
        <v>4016</v>
      </c>
      <c r="C16" s="7">
        <v>10.199999999999999</v>
      </c>
      <c r="D16" s="5">
        <f t="shared" si="0"/>
        <v>40.830599999999997</v>
      </c>
    </row>
    <row r="17" spans="1:4" ht="18" x14ac:dyDescent="0.25">
      <c r="A17" s="6">
        <v>1993</v>
      </c>
      <c r="B17" s="8">
        <v>4042</v>
      </c>
      <c r="C17" s="7">
        <v>10</v>
      </c>
      <c r="D17" s="5">
        <f t="shared" si="0"/>
        <v>40.29</v>
      </c>
    </row>
    <row r="18" spans="1:4" ht="18" x14ac:dyDescent="0.25">
      <c r="A18" s="6">
        <v>1994</v>
      </c>
      <c r="B18" s="8">
        <v>4067</v>
      </c>
      <c r="C18" s="7">
        <v>10.7</v>
      </c>
      <c r="D18" s="5">
        <f t="shared" si="0"/>
        <v>43.383149999999993</v>
      </c>
    </row>
    <row r="19" spans="1:4" ht="18" x14ac:dyDescent="0.25">
      <c r="A19" s="6">
        <v>1995</v>
      </c>
      <c r="B19" s="8">
        <v>4092</v>
      </c>
      <c r="C19" s="7">
        <v>9.9</v>
      </c>
      <c r="D19" s="5">
        <f t="shared" si="0"/>
        <v>40.387050000000002</v>
      </c>
    </row>
    <row r="20" spans="1:4" ht="18" x14ac:dyDescent="0.25">
      <c r="A20" s="6">
        <v>1996</v>
      </c>
      <c r="B20" s="8">
        <v>4116</v>
      </c>
      <c r="C20" s="7">
        <v>9.5</v>
      </c>
      <c r="D20" s="5">
        <f t="shared" si="0"/>
        <v>38.988</v>
      </c>
    </row>
    <row r="21" spans="1:4" ht="18" x14ac:dyDescent="0.25">
      <c r="A21" s="6">
        <v>1997</v>
      </c>
      <c r="B21" s="8">
        <v>4138</v>
      </c>
      <c r="C21" s="7">
        <v>8.9</v>
      </c>
      <c r="D21" s="5">
        <f t="shared" si="0"/>
        <v>36.7303</v>
      </c>
    </row>
    <row r="22" spans="1:4" ht="18" x14ac:dyDescent="0.25">
      <c r="A22" s="6">
        <v>1998</v>
      </c>
      <c r="B22" s="8">
        <v>4157</v>
      </c>
      <c r="C22" s="7">
        <v>7.9</v>
      </c>
      <c r="D22" s="5">
        <f t="shared" si="0"/>
        <v>32.765250000000002</v>
      </c>
    </row>
    <row r="23" spans="1:4" ht="18" x14ac:dyDescent="0.25">
      <c r="A23" s="6">
        <v>1999</v>
      </c>
      <c r="B23" s="8">
        <v>4171</v>
      </c>
      <c r="C23" s="7">
        <v>8</v>
      </c>
      <c r="D23" s="5">
        <f t="shared" si="0"/>
        <v>33.311999999999998</v>
      </c>
    </row>
    <row r="24" spans="1:4" ht="18" x14ac:dyDescent="0.25">
      <c r="A24" s="6">
        <v>2000</v>
      </c>
      <c r="B24" s="8">
        <v>4184</v>
      </c>
      <c r="C24" s="7">
        <v>10.7</v>
      </c>
      <c r="D24" s="5">
        <f t="shared" si="0"/>
        <v>44.699249999999999</v>
      </c>
    </row>
    <row r="25" spans="1:4" ht="18" x14ac:dyDescent="0.25">
      <c r="A25" s="6">
        <v>2001</v>
      </c>
      <c r="B25" s="8">
        <v>4194</v>
      </c>
      <c r="C25" s="7">
        <v>7.1</v>
      </c>
      <c r="D25" s="5">
        <f t="shared" si="0"/>
        <v>29.741899999999998</v>
      </c>
    </row>
    <row r="26" spans="1:4" ht="18" x14ac:dyDescent="0.25">
      <c r="A26" s="6">
        <v>2002</v>
      </c>
      <c r="B26" s="8">
        <v>4203</v>
      </c>
      <c r="C26" s="7">
        <v>7.5</v>
      </c>
      <c r="D26" s="5">
        <f t="shared" si="0"/>
        <v>31.48875</v>
      </c>
    </row>
    <row r="27" spans="1:4" ht="18" x14ac:dyDescent="0.25">
      <c r="A27" s="6">
        <v>2003</v>
      </c>
      <c r="B27" s="8">
        <v>4210</v>
      </c>
      <c r="C27" s="7">
        <v>6.2</v>
      </c>
      <c r="D27" s="5">
        <f t="shared" si="0"/>
        <v>26.080299999999998</v>
      </c>
    </row>
    <row r="28" spans="1:4" ht="18" x14ac:dyDescent="0.25">
      <c r="A28" s="6">
        <v>2004</v>
      </c>
      <c r="B28" s="8">
        <v>4217</v>
      </c>
      <c r="C28" s="7">
        <v>7.7</v>
      </c>
      <c r="D28" s="5">
        <f t="shared" si="0"/>
        <v>32.443950000000001</v>
      </c>
    </row>
    <row r="29" spans="1:4" ht="18" x14ac:dyDescent="0.25">
      <c r="A29" s="6">
        <v>2005</v>
      </c>
      <c r="B29" s="8">
        <v>4221</v>
      </c>
      <c r="C29" s="7">
        <v>7.8</v>
      </c>
      <c r="D29" s="5">
        <f t="shared" si="0"/>
        <v>32.908199999999994</v>
      </c>
    </row>
    <row r="30" spans="1:4" ht="18" x14ac:dyDescent="0.25">
      <c r="A30" s="6">
        <v>2006</v>
      </c>
      <c r="B30" s="8">
        <v>4271</v>
      </c>
      <c r="C30" s="7">
        <v>7.8</v>
      </c>
      <c r="D30" s="5">
        <f t="shared" si="0"/>
        <v>33.118799999999993</v>
      </c>
    </row>
    <row r="31" spans="1:4" ht="18" x14ac:dyDescent="0.25">
      <c r="A31" s="6">
        <v>2007</v>
      </c>
      <c r="B31" s="8">
        <v>4298</v>
      </c>
      <c r="C31" s="7">
        <v>8.1999999999999993</v>
      </c>
      <c r="D31" s="5">
        <f t="shared" si="0"/>
        <v>35.132899999999992</v>
      </c>
    </row>
    <row r="32" spans="1:4" ht="18" x14ac:dyDescent="0.25">
      <c r="A32" s="6">
        <v>2008</v>
      </c>
      <c r="B32" s="8">
        <v>4315</v>
      </c>
      <c r="C32" s="7">
        <v>7.9</v>
      </c>
      <c r="D32" s="5">
        <f t="shared" si="0"/>
        <v>34.021349999999998</v>
      </c>
    </row>
    <row r="33" spans="1:4" ht="18" x14ac:dyDescent="0.25">
      <c r="A33" s="6">
        <v>2009</v>
      </c>
      <c r="B33" s="8">
        <v>4341</v>
      </c>
      <c r="C33" s="7">
        <v>7.6</v>
      </c>
      <c r="D33" s="5">
        <f t="shared" si="0"/>
        <v>32.892799999999994</v>
      </c>
    </row>
    <row r="34" spans="1:4" ht="18" x14ac:dyDescent="0.25">
      <c r="A34" s="6">
        <v>2010</v>
      </c>
      <c r="B34" s="8">
        <v>4378</v>
      </c>
      <c r="C34" s="7">
        <v>8.8000000000000007</v>
      </c>
      <c r="D34" s="5">
        <f t="shared" si="0"/>
        <v>38.363600000000005</v>
      </c>
    </row>
    <row r="35" spans="1:4" ht="18" x14ac:dyDescent="0.25">
      <c r="A35" s="6">
        <v>2011</v>
      </c>
      <c r="B35" s="8">
        <v>4379</v>
      </c>
      <c r="C35" s="7">
        <v>7.4</v>
      </c>
      <c r="D35" s="5">
        <f t="shared" si="0"/>
        <v>32.4009</v>
      </c>
    </row>
    <row r="36" spans="1:4" ht="18" x14ac:dyDescent="0.25">
      <c r="A36" s="6">
        <v>2012</v>
      </c>
      <c r="B36" s="8">
        <v>4375</v>
      </c>
      <c r="C36" s="7">
        <v>8.1</v>
      </c>
      <c r="D36" s="5">
        <f t="shared" si="0"/>
        <v>35.453699999999998</v>
      </c>
    </row>
    <row r="37" spans="1:4" ht="18" x14ac:dyDescent="0.25">
      <c r="A37" s="6">
        <v>2013</v>
      </c>
      <c r="B37" s="8">
        <v>4365</v>
      </c>
      <c r="C37" s="7">
        <v>7.6</v>
      </c>
      <c r="D37" s="5">
        <f t="shared" si="0"/>
        <v>33.212000000000003</v>
      </c>
    </row>
    <row r="38" spans="1:4" ht="18" x14ac:dyDescent="0.25">
      <c r="A38" s="6">
        <v>2014</v>
      </c>
      <c r="B38" s="8">
        <v>4358</v>
      </c>
      <c r="C38" s="7">
        <v>9</v>
      </c>
      <c r="D38" s="5">
        <f t="shared" si="0"/>
        <v>39.253500000000003</v>
      </c>
    </row>
    <row r="39" spans="1:4" ht="18" x14ac:dyDescent="0.25">
      <c r="A39" s="6">
        <v>2015</v>
      </c>
      <c r="B39" s="8">
        <v>4338</v>
      </c>
      <c r="C39" s="7">
        <v>7</v>
      </c>
      <c r="D39" s="5">
        <f t="shared" si="0"/>
        <v>30.436</v>
      </c>
    </row>
    <row r="40" spans="1:4" ht="18" x14ac:dyDescent="0.25">
      <c r="A40" s="6">
        <v>2016</v>
      </c>
      <c r="B40" s="8">
        <v>4327</v>
      </c>
      <c r="C40" s="8">
        <v>7.8</v>
      </c>
      <c r="D40" s="5">
        <f t="shared" si="0"/>
        <v>33.793500000000002</v>
      </c>
    </row>
    <row r="41" spans="1:4" ht="18" x14ac:dyDescent="0.25">
      <c r="A41" s="6">
        <v>2017</v>
      </c>
      <c r="B41" s="8">
        <v>4312</v>
      </c>
      <c r="C41" s="7">
        <v>8.1</v>
      </c>
      <c r="D41" s="5">
        <f t="shared" si="0"/>
        <v>34.987949999999998</v>
      </c>
    </row>
    <row r="42" spans="1:4" ht="18" x14ac:dyDescent="0.25">
      <c r="A42" s="6">
        <v>2018</v>
      </c>
      <c r="B42" s="8">
        <v>4291</v>
      </c>
      <c r="C42" s="7">
        <v>7</v>
      </c>
      <c r="D42" s="5">
        <f t="shared" si="0"/>
        <v>30.110499999999998</v>
      </c>
    </row>
    <row r="43" spans="1:4" ht="18" x14ac:dyDescent="0.25">
      <c r="A43" s="6">
        <v>2019</v>
      </c>
      <c r="B43" s="8">
        <v>4277</v>
      </c>
      <c r="C43" s="7">
        <v>6.9</v>
      </c>
      <c r="D43" s="5">
        <f t="shared" si="0"/>
        <v>29.559600000000003</v>
      </c>
    </row>
    <row r="44" spans="1:4" ht="18" x14ac:dyDescent="0.25">
      <c r="A44" s="6">
        <v>2020</v>
      </c>
      <c r="B44" s="8">
        <v>4255</v>
      </c>
      <c r="C44" s="7">
        <v>5.8</v>
      </c>
      <c r="D44" s="5">
        <f t="shared" si="0"/>
        <v>24.742799999999999</v>
      </c>
    </row>
    <row r="45" spans="1:4" ht="18" x14ac:dyDescent="0.25">
      <c r="A45" s="6">
        <v>2021</v>
      </c>
      <c r="B45" s="8">
        <v>4229</v>
      </c>
      <c r="C45" s="7">
        <v>4.8</v>
      </c>
      <c r="D45" s="5">
        <f t="shared" si="0"/>
        <v>20.361599999999999</v>
      </c>
    </row>
    <row r="46" spans="1:4" ht="18" x14ac:dyDescent="0.25">
      <c r="A46" s="6">
        <v>2022</v>
      </c>
      <c r="B46" s="8">
        <v>4197</v>
      </c>
      <c r="C46" s="7">
        <v>4.3</v>
      </c>
      <c r="D46" s="5">
        <f t="shared" si="0"/>
        <v>18.115899999999996</v>
      </c>
    </row>
    <row r="47" spans="1:4" ht="18" x14ac:dyDescent="0.25">
      <c r="A47" s="6">
        <v>2023</v>
      </c>
      <c r="B47" s="8">
        <v>4182</v>
      </c>
      <c r="C47" s="7">
        <v>4.2</v>
      </c>
      <c r="D47" s="5">
        <f t="shared" si="0"/>
        <v>17.5959</v>
      </c>
    </row>
    <row r="48" spans="1:4" ht="18" x14ac:dyDescent="0.25">
      <c r="A48" s="8">
        <v>2024</v>
      </c>
      <c r="B48" s="8">
        <v>4155</v>
      </c>
      <c r="C48" s="7">
        <v>4.5</v>
      </c>
      <c r="D48" s="5">
        <f t="shared" si="0"/>
        <v>18.75825</v>
      </c>
    </row>
    <row r="49" spans="1:4" ht="18" x14ac:dyDescent="0.35">
      <c r="A49" s="6">
        <v>2025</v>
      </c>
      <c r="B49" s="9">
        <v>4131</v>
      </c>
      <c r="C49" s="7">
        <v>3.4</v>
      </c>
      <c r="D49" s="9">
        <v>14.1</v>
      </c>
    </row>
    <row r="50" spans="1:4" ht="18" x14ac:dyDescent="0.35">
      <c r="A50" s="1"/>
      <c r="B50" s="1"/>
      <c r="C50" s="1"/>
      <c r="D50" s="1"/>
    </row>
    <row r="51" spans="1:4" ht="123.6" customHeight="1" x14ac:dyDescent="0.25">
      <c r="A51" s="3" t="s">
        <v>4</v>
      </c>
      <c r="B51" s="3"/>
      <c r="C51" s="3"/>
      <c r="D51" s="3"/>
    </row>
  </sheetData>
  <mergeCells count="1">
    <mergeCell ref="A51:D5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2026-09-29T07:36:28Z</dcterms:modified>
</cp:coreProperties>
</file>