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天津市\"/>
    </mc:Choice>
  </mc:AlternateContent>
  <xr:revisionPtr revIDLastSave="0" documentId="13_ncr:1_{CDBFE3E4-0A0A-4B05-8F02-96294524A3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3" i="1"/>
</calcChain>
</file>

<file path=xl/sharedStrings.xml><?xml version="1.0" encoding="utf-8"?>
<sst xmlns="http://schemas.openxmlformats.org/spreadsheetml/2006/main" count="7" uniqueCount="7">
  <si>
    <r>
      <rPr>
        <sz val="10"/>
        <rFont val="楷体"/>
        <family val="3"/>
        <charset val="134"/>
      </rPr>
      <t>注：</t>
    </r>
    <r>
      <rPr>
        <sz val="10"/>
        <rFont val="Times New Roman"/>
        <family val="1"/>
      </rPr>
      <t>1.</t>
    </r>
    <r>
      <rPr>
        <sz val="10"/>
        <rFont val="楷体"/>
        <family val="3"/>
        <charset val="134"/>
      </rPr>
      <t>人口密度</t>
    </r>
    <r>
      <rPr>
        <sz val="10"/>
        <rFont val="Times New Roman"/>
        <family val="1"/>
      </rPr>
      <t>2005</t>
    </r>
    <r>
      <rPr>
        <sz val="10"/>
        <rFont val="楷体"/>
        <family val="3"/>
        <charset val="134"/>
      </rPr>
      <t>年以后按市民政局行政区划面积计算，</t>
    </r>
    <r>
      <rPr>
        <sz val="10"/>
        <rFont val="Times New Roman"/>
        <family val="1"/>
      </rPr>
      <t>2005</t>
    </r>
    <r>
      <rPr>
        <sz val="10"/>
        <rFont val="楷体"/>
        <family val="3"/>
        <charset val="134"/>
      </rPr>
      <t>年以前按市规划局土地面积计算。表中人口密度为常住口径。</t>
    </r>
    <r>
      <rPr>
        <sz val="10"/>
        <rFont val="Times New Roman"/>
        <family val="1"/>
      </rPr>
      <t>2.</t>
    </r>
    <r>
      <rPr>
        <sz val="10"/>
        <rFont val="楷体"/>
        <family val="3"/>
        <charset val="134"/>
      </rPr>
      <t>本表</t>
    </r>
    <r>
      <rPr>
        <sz val="10"/>
        <rFont val="Times New Roman"/>
        <family val="1"/>
      </rPr>
      <t>2011-2019</t>
    </r>
    <r>
      <rPr>
        <sz val="10"/>
        <rFont val="楷体"/>
        <family val="3"/>
        <charset val="134"/>
      </rPr>
      <t>年常住人口根据天津市第七次全国人口普查数据修订。出生率、死亡率、自然增长率未修订。</t>
    </r>
    <r>
      <rPr>
        <sz val="10"/>
        <rFont val="Times New Roman"/>
        <family val="1"/>
      </rPr>
      <t>3.</t>
    </r>
    <r>
      <rPr>
        <sz val="10"/>
        <rFont val="楷体"/>
        <family val="3"/>
        <charset val="134"/>
      </rPr>
      <t>常住人口指实际经常居住在某地区半年以上的人口。</t>
    </r>
    <phoneticPr fontId="2" type="noConversion"/>
  </si>
  <si>
    <r>
      <rPr>
        <sz val="14"/>
        <rFont val="楷体"/>
        <family val="3"/>
        <charset val="134"/>
      </rPr>
      <t>年份</t>
    </r>
    <phoneticPr fontId="3" type="noConversion"/>
  </si>
  <si>
    <r>
      <rPr>
        <sz val="14"/>
        <rFont val="楷体"/>
        <family val="3"/>
        <charset val="134"/>
      </rPr>
      <t>总人口（万人）</t>
    </r>
    <phoneticPr fontId="3" type="noConversion"/>
  </si>
  <si>
    <r>
      <rPr>
        <sz val="14"/>
        <rFont val="楷体"/>
        <family val="3"/>
        <charset val="134"/>
      </rPr>
      <t>出生率（</t>
    </r>
    <r>
      <rPr>
        <sz val="14"/>
        <rFont val="Times New Roman"/>
        <family val="1"/>
      </rPr>
      <t>‰</t>
    </r>
    <r>
      <rPr>
        <sz val="14"/>
        <rFont val="楷体"/>
        <family val="3"/>
        <charset val="134"/>
      </rPr>
      <t>）</t>
    </r>
    <phoneticPr fontId="3" type="noConversion"/>
  </si>
  <si>
    <r>
      <rPr>
        <sz val="14"/>
        <rFont val="楷体"/>
        <family val="3"/>
        <charset val="134"/>
      </rPr>
      <t>出生人口（万人）</t>
    </r>
    <phoneticPr fontId="3" type="noConversion"/>
  </si>
  <si>
    <r>
      <rPr>
        <b/>
        <sz val="12"/>
        <color theme="1"/>
        <rFont val="楷体"/>
        <family val="3"/>
        <charset val="134"/>
      </rPr>
      <t>出生人口计算公式</t>
    </r>
    <r>
      <rPr>
        <b/>
        <sz val="12"/>
        <color theme="1"/>
        <rFont val="Times New Roman"/>
        <family val="1"/>
      </rPr>
      <t xml:space="preserve"> = [</t>
    </r>
    <r>
      <rPr>
        <b/>
        <sz val="12"/>
        <color theme="1"/>
        <rFont val="楷体"/>
        <family val="3"/>
        <charset val="134"/>
      </rPr>
      <t>（当年总人口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上年总人口）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2" type="noConversion"/>
  </si>
  <si>
    <r>
      <rPr>
        <b/>
        <sz val="12"/>
        <color theme="1"/>
        <rFont val="楷体"/>
        <family val="1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年之前数据来源于《</t>
    </r>
    <r>
      <rPr>
        <b/>
        <sz val="12"/>
        <color theme="1"/>
        <rFont val="Times New Roman"/>
        <family val="3"/>
      </rPr>
      <t>2025</t>
    </r>
    <r>
      <rPr>
        <b/>
        <sz val="12"/>
        <color theme="1"/>
        <rFont val="楷体"/>
        <family val="3"/>
        <charset val="134"/>
      </rPr>
      <t>年天津市统计年鉴》</t>
    </r>
    <r>
      <rPr>
        <b/>
        <sz val="12"/>
        <color theme="1"/>
        <rFont val="Times New Roman"/>
        <family val="1"/>
      </rPr>
      <t>,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常住人口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通过公式计算得出。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年数据来源于《天津市国民经济和社会发展统计公报》，其中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常住人口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通过公式计算得出。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</si>
</sst>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.0_);[Red]\(0.0\)"/>
  </numFmts>
  <fonts count="13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sz val="10"/>
      <name val="楷体"/>
      <family val="3"/>
      <charset val="134"/>
    </font>
    <font>
      <sz val="10"/>
      <name val="Times New Roman"/>
      <family val="1"/>
    </font>
    <font>
      <sz val="14"/>
      <name val="Times New Roman"/>
      <family val="1"/>
    </font>
    <font>
      <sz val="14"/>
      <name val="楷体"/>
      <family val="3"/>
      <charset val="134"/>
    </font>
    <font>
      <b/>
      <sz val="12"/>
      <color theme="1"/>
      <name val="楷体"/>
      <family val="1"/>
      <charset val="134"/>
    </font>
    <font>
      <b/>
      <sz val="12"/>
      <color theme="1"/>
      <name val="Times New Roman"/>
      <family val="3"/>
    </font>
    <font>
      <b/>
      <sz val="12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8" fillId="0" borderId="0" xfId="0" applyFont="1" applyAlignment="1">
      <alignment horizontal="left" vertical="center"/>
    </xf>
    <xf numFmtId="0" fontId="1" fillId="0" borderId="0" xfId="0" applyFont="1"/>
    <xf numFmtId="178" fontId="8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176" fontId="8" fillId="0" borderId="1" xfId="0" applyNumberFormat="1" applyFont="1" applyBorder="1" applyAlignment="1">
      <alignment horizontal="right" vertical="center" wrapText="1"/>
    </xf>
    <xf numFmtId="49" fontId="8" fillId="0" borderId="1" xfId="0" applyNumberFormat="1" applyFont="1" applyBorder="1" applyAlignment="1">
      <alignment horizontal="right" vertical="center" wrapText="1"/>
    </xf>
    <xf numFmtId="177" fontId="8" fillId="0" borderId="1" xfId="0" applyNumberFormat="1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40" workbookViewId="0">
      <selection activeCell="A52" sqref="A52:D52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4" t="s">
        <v>1</v>
      </c>
      <c r="B1" s="4" t="s">
        <v>2</v>
      </c>
      <c r="C1" s="4" t="s">
        <v>3</v>
      </c>
      <c r="D1" s="7" t="s">
        <v>4</v>
      </c>
    </row>
    <row r="2" spans="1:4" ht="18" x14ac:dyDescent="0.25">
      <c r="A2" s="8">
        <v>1978</v>
      </c>
      <c r="B2" s="3">
        <v>724.27</v>
      </c>
      <c r="C2" s="4">
        <v>15.47</v>
      </c>
      <c r="D2" s="7"/>
    </row>
    <row r="3" spans="1:4" ht="18" x14ac:dyDescent="0.25">
      <c r="A3" s="8">
        <v>1979</v>
      </c>
      <c r="B3" s="3">
        <v>739.42</v>
      </c>
      <c r="C3" s="4">
        <v>14.57</v>
      </c>
      <c r="D3" s="7">
        <f>(B2+B3)/2*C3/1000</f>
        <v>10.662981649999999</v>
      </c>
    </row>
    <row r="4" spans="1:4" ht="18" x14ac:dyDescent="0.25">
      <c r="A4" s="8">
        <v>1980</v>
      </c>
      <c r="B4" s="3">
        <v>748.91</v>
      </c>
      <c r="C4" s="4">
        <v>13.29</v>
      </c>
      <c r="D4" s="7">
        <f t="shared" ref="D4:D49" si="0">(B3+B4)/2*C4/1000</f>
        <v>9.8899528500000002</v>
      </c>
    </row>
    <row r="5" spans="1:4" ht="18" x14ac:dyDescent="0.25">
      <c r="A5" s="8">
        <v>1981</v>
      </c>
      <c r="B5" s="3">
        <v>760.32</v>
      </c>
      <c r="C5" s="4">
        <v>17.899999999999999</v>
      </c>
      <c r="D5" s="7">
        <f t="shared" si="0"/>
        <v>13.507608499999998</v>
      </c>
    </row>
    <row r="6" spans="1:4" ht="18" x14ac:dyDescent="0.25">
      <c r="A6" s="8">
        <v>1982</v>
      </c>
      <c r="B6" s="3">
        <v>774.92</v>
      </c>
      <c r="C6" s="4">
        <v>20.05</v>
      </c>
      <c r="D6" s="7">
        <f t="shared" si="0"/>
        <v>15.390781</v>
      </c>
    </row>
    <row r="7" spans="1:4" ht="18" x14ac:dyDescent="0.25">
      <c r="A7" s="8">
        <v>1983</v>
      </c>
      <c r="B7" s="3">
        <v>785.28</v>
      </c>
      <c r="C7" s="4">
        <v>17.14</v>
      </c>
      <c r="D7" s="7">
        <f t="shared" si="0"/>
        <v>13.370913999999999</v>
      </c>
    </row>
    <row r="8" spans="1:4" ht="18" x14ac:dyDescent="0.25">
      <c r="A8" s="8">
        <v>1984</v>
      </c>
      <c r="B8" s="3">
        <v>795.52</v>
      </c>
      <c r="C8" s="4">
        <v>15.67</v>
      </c>
      <c r="D8" s="7">
        <f t="shared" si="0"/>
        <v>12.385567999999999</v>
      </c>
    </row>
    <row r="9" spans="1:4" ht="18" x14ac:dyDescent="0.25">
      <c r="A9" s="8">
        <v>1985</v>
      </c>
      <c r="B9" s="3">
        <v>804.8</v>
      </c>
      <c r="C9" s="4">
        <v>13.94</v>
      </c>
      <c r="D9" s="7">
        <f t="shared" si="0"/>
        <v>11.154230399999999</v>
      </c>
    </row>
    <row r="10" spans="1:4" ht="18" x14ac:dyDescent="0.25">
      <c r="A10" s="8">
        <v>1986</v>
      </c>
      <c r="B10" s="3">
        <v>814.97</v>
      </c>
      <c r="C10" s="4">
        <v>15</v>
      </c>
      <c r="D10" s="7">
        <f t="shared" si="0"/>
        <v>12.148275</v>
      </c>
    </row>
    <row r="11" spans="1:4" ht="18" x14ac:dyDescent="0.25">
      <c r="A11" s="8">
        <v>1987</v>
      </c>
      <c r="B11" s="3">
        <v>831.76</v>
      </c>
      <c r="C11" s="4">
        <v>17.07</v>
      </c>
      <c r="D11" s="7">
        <f t="shared" si="0"/>
        <v>14.054840550000002</v>
      </c>
    </row>
    <row r="12" spans="1:4" ht="18" x14ac:dyDescent="0.25">
      <c r="A12" s="8">
        <v>1988</v>
      </c>
      <c r="B12" s="3">
        <v>843.44</v>
      </c>
      <c r="C12" s="4">
        <v>15.92</v>
      </c>
      <c r="D12" s="7">
        <f t="shared" si="0"/>
        <v>13.334592000000001</v>
      </c>
    </row>
    <row r="13" spans="1:4" ht="18" x14ac:dyDescent="0.25">
      <c r="A13" s="8">
        <v>1989</v>
      </c>
      <c r="B13" s="3">
        <v>856.95</v>
      </c>
      <c r="C13" s="4">
        <v>15.5</v>
      </c>
      <c r="D13" s="7">
        <f t="shared" si="0"/>
        <v>13.178022500000001</v>
      </c>
    </row>
    <row r="14" spans="1:4" ht="18" x14ac:dyDescent="0.25">
      <c r="A14" s="8">
        <v>1990</v>
      </c>
      <c r="B14" s="3">
        <v>884.03</v>
      </c>
      <c r="C14" s="4">
        <v>15.62</v>
      </c>
      <c r="D14" s="7">
        <f t="shared" si="0"/>
        <v>13.597053799999999</v>
      </c>
    </row>
    <row r="15" spans="1:4" ht="18" x14ac:dyDescent="0.25">
      <c r="A15" s="8">
        <v>1991</v>
      </c>
      <c r="B15" s="3">
        <v>908.89</v>
      </c>
      <c r="C15" s="4">
        <v>11.94</v>
      </c>
      <c r="D15" s="7">
        <f t="shared" si="0"/>
        <v>10.703732400000002</v>
      </c>
    </row>
    <row r="16" spans="1:4" ht="18" x14ac:dyDescent="0.25">
      <c r="A16" s="8">
        <v>1992</v>
      </c>
      <c r="B16" s="3">
        <v>920.41</v>
      </c>
      <c r="C16" s="4">
        <v>12.5</v>
      </c>
      <c r="D16" s="7">
        <f t="shared" si="0"/>
        <v>11.433125</v>
      </c>
    </row>
    <row r="17" spans="1:4" ht="18" x14ac:dyDescent="0.25">
      <c r="A17" s="8">
        <v>1993</v>
      </c>
      <c r="B17" s="3">
        <v>928.02</v>
      </c>
      <c r="C17" s="4">
        <v>10.71</v>
      </c>
      <c r="D17" s="7">
        <f t="shared" si="0"/>
        <v>9.89834265</v>
      </c>
    </row>
    <row r="18" spans="1:4" ht="18" x14ac:dyDescent="0.25">
      <c r="A18" s="8">
        <v>1994</v>
      </c>
      <c r="B18" s="3">
        <v>935.28</v>
      </c>
      <c r="C18" s="4">
        <v>10.98</v>
      </c>
      <c r="D18" s="7">
        <f t="shared" si="0"/>
        <v>10.229517</v>
      </c>
    </row>
    <row r="19" spans="1:4" ht="18" x14ac:dyDescent="0.25">
      <c r="A19" s="8">
        <v>1995</v>
      </c>
      <c r="B19" s="3">
        <v>941.83</v>
      </c>
      <c r="C19" s="4">
        <v>10.23</v>
      </c>
      <c r="D19" s="7">
        <f t="shared" si="0"/>
        <v>9.6014176500000019</v>
      </c>
    </row>
    <row r="20" spans="1:4" ht="18" x14ac:dyDescent="0.25">
      <c r="A20" s="8">
        <v>1996</v>
      </c>
      <c r="B20" s="3">
        <v>948.19</v>
      </c>
      <c r="C20" s="4">
        <v>10.09</v>
      </c>
      <c r="D20" s="7">
        <f t="shared" si="0"/>
        <v>9.5351509000000014</v>
      </c>
    </row>
    <row r="21" spans="1:4" ht="18" x14ac:dyDescent="0.25">
      <c r="A21" s="8">
        <v>1997</v>
      </c>
      <c r="B21" s="3">
        <v>952.59</v>
      </c>
      <c r="C21" s="4">
        <v>9.98</v>
      </c>
      <c r="D21" s="7">
        <f t="shared" si="0"/>
        <v>9.4848922000000027</v>
      </c>
    </row>
    <row r="22" spans="1:4" ht="18" x14ac:dyDescent="0.25">
      <c r="A22" s="8">
        <v>1998</v>
      </c>
      <c r="B22" s="3">
        <v>956.64</v>
      </c>
      <c r="C22" s="4">
        <v>9.89</v>
      </c>
      <c r="D22" s="7">
        <f t="shared" si="0"/>
        <v>9.4411423499999998</v>
      </c>
    </row>
    <row r="23" spans="1:4" ht="18" x14ac:dyDescent="0.25">
      <c r="A23" s="8">
        <v>1999</v>
      </c>
      <c r="B23" s="3">
        <v>959.48</v>
      </c>
      <c r="C23" s="4">
        <v>9.68</v>
      </c>
      <c r="D23" s="7">
        <f t="shared" si="0"/>
        <v>9.2740207999999988</v>
      </c>
    </row>
    <row r="24" spans="1:4" ht="18" x14ac:dyDescent="0.25">
      <c r="A24" s="8">
        <v>2000</v>
      </c>
      <c r="B24" s="3">
        <v>1001.14</v>
      </c>
      <c r="C24" s="9">
        <v>7.72</v>
      </c>
      <c r="D24" s="7">
        <f t="shared" si="0"/>
        <v>7.5679931999999992</v>
      </c>
    </row>
    <row r="25" spans="1:4" ht="18" x14ac:dyDescent="0.25">
      <c r="A25" s="8">
        <v>2001</v>
      </c>
      <c r="B25" s="3">
        <v>1004.06</v>
      </c>
      <c r="C25" s="9">
        <v>7.58</v>
      </c>
      <c r="D25" s="7">
        <f t="shared" si="0"/>
        <v>7.5997079999999997</v>
      </c>
    </row>
    <row r="26" spans="1:4" ht="18" x14ac:dyDescent="0.25">
      <c r="A26" s="8">
        <v>2002</v>
      </c>
      <c r="B26" s="3">
        <v>1007.18</v>
      </c>
      <c r="C26" s="9">
        <v>7.49</v>
      </c>
      <c r="D26" s="7">
        <f t="shared" si="0"/>
        <v>7.5320937999999993</v>
      </c>
    </row>
    <row r="27" spans="1:4" ht="18" x14ac:dyDescent="0.25">
      <c r="A27" s="8">
        <v>2003</v>
      </c>
      <c r="B27" s="3">
        <v>1011.3</v>
      </c>
      <c r="C27" s="9">
        <v>7.14</v>
      </c>
      <c r="D27" s="7">
        <f t="shared" si="0"/>
        <v>7.2059735999999992</v>
      </c>
    </row>
    <row r="28" spans="1:4" ht="18" x14ac:dyDescent="0.25">
      <c r="A28" s="8">
        <v>2004</v>
      </c>
      <c r="B28" s="3">
        <v>1023.67</v>
      </c>
      <c r="C28" s="9">
        <v>7.31</v>
      </c>
      <c r="D28" s="7">
        <f t="shared" si="0"/>
        <v>7.4378153499999993</v>
      </c>
    </row>
    <row r="29" spans="1:4" ht="18" x14ac:dyDescent="0.25">
      <c r="A29" s="8">
        <v>2005</v>
      </c>
      <c r="B29" s="3">
        <v>1043</v>
      </c>
      <c r="C29" s="9">
        <v>7.44</v>
      </c>
      <c r="D29" s="7">
        <f t="shared" si="0"/>
        <v>7.6880124000000007</v>
      </c>
    </row>
    <row r="30" spans="1:4" ht="18" x14ac:dyDescent="0.25">
      <c r="A30" s="8">
        <v>2006</v>
      </c>
      <c r="B30" s="3">
        <v>1075</v>
      </c>
      <c r="C30" s="9">
        <v>7.67</v>
      </c>
      <c r="D30" s="7">
        <f t="shared" si="0"/>
        <v>8.1225299999999994</v>
      </c>
    </row>
    <row r="31" spans="1:4" ht="18" x14ac:dyDescent="0.25">
      <c r="A31" s="8">
        <v>2007</v>
      </c>
      <c r="B31" s="3">
        <v>1115</v>
      </c>
      <c r="C31" s="9">
        <v>7.91</v>
      </c>
      <c r="D31" s="7">
        <f t="shared" si="0"/>
        <v>8.6614500000000003</v>
      </c>
    </row>
    <row r="32" spans="1:4" ht="18" x14ac:dyDescent="0.25">
      <c r="A32" s="8">
        <v>2008</v>
      </c>
      <c r="B32" s="3">
        <v>1176</v>
      </c>
      <c r="C32" s="9">
        <v>8.1300000000000008</v>
      </c>
      <c r="D32" s="7">
        <f t="shared" si="0"/>
        <v>9.3129150000000003</v>
      </c>
    </row>
    <row r="33" spans="1:4" ht="18" x14ac:dyDescent="0.25">
      <c r="A33" s="8">
        <v>2009</v>
      </c>
      <c r="B33" s="3">
        <v>1228.1600000000001</v>
      </c>
      <c r="C33" s="9">
        <v>8.3000000000000007</v>
      </c>
      <c r="D33" s="7">
        <f t="shared" si="0"/>
        <v>9.9772640000000017</v>
      </c>
    </row>
    <row r="34" spans="1:4" ht="18" x14ac:dyDescent="0.25">
      <c r="A34" s="8">
        <v>2010</v>
      </c>
      <c r="B34" s="3">
        <v>1299.29</v>
      </c>
      <c r="C34" s="9">
        <v>8.18</v>
      </c>
      <c r="D34" s="7">
        <f t="shared" si="0"/>
        <v>10.337270499999999</v>
      </c>
    </row>
    <row r="35" spans="1:4" ht="18" x14ac:dyDescent="0.25">
      <c r="A35" s="8">
        <v>2011</v>
      </c>
      <c r="B35" s="3">
        <v>1341</v>
      </c>
      <c r="C35" s="9">
        <v>8.58</v>
      </c>
      <c r="D35" s="7">
        <f t="shared" si="0"/>
        <v>11.326844100000001</v>
      </c>
    </row>
    <row r="36" spans="1:4" ht="18" x14ac:dyDescent="0.25">
      <c r="A36" s="8">
        <v>2012</v>
      </c>
      <c r="B36" s="3">
        <v>1378</v>
      </c>
      <c r="C36" s="9">
        <v>8.75</v>
      </c>
      <c r="D36" s="7">
        <f t="shared" si="0"/>
        <v>11.895625000000001</v>
      </c>
    </row>
    <row r="37" spans="1:4" ht="18" x14ac:dyDescent="0.25">
      <c r="A37" s="8">
        <v>2013</v>
      </c>
      <c r="B37" s="3">
        <v>1410</v>
      </c>
      <c r="C37" s="9">
        <v>8.2799999999999994</v>
      </c>
      <c r="D37" s="7">
        <f t="shared" si="0"/>
        <v>11.54232</v>
      </c>
    </row>
    <row r="38" spans="1:4" ht="18" x14ac:dyDescent="0.25">
      <c r="A38" s="8">
        <v>2014</v>
      </c>
      <c r="B38" s="3">
        <v>1429</v>
      </c>
      <c r="C38" s="9">
        <v>8.19</v>
      </c>
      <c r="D38" s="7">
        <f t="shared" si="0"/>
        <v>11.625705</v>
      </c>
    </row>
    <row r="39" spans="1:4" ht="18" x14ac:dyDescent="0.25">
      <c r="A39" s="8">
        <v>2015</v>
      </c>
      <c r="B39" s="3">
        <v>1439</v>
      </c>
      <c r="C39" s="9">
        <v>5.84</v>
      </c>
      <c r="D39" s="7">
        <f t="shared" si="0"/>
        <v>8.3745599999999989</v>
      </c>
    </row>
    <row r="40" spans="1:4" ht="18" x14ac:dyDescent="0.25">
      <c r="A40" s="4">
        <v>2016</v>
      </c>
      <c r="B40" s="3">
        <v>1443</v>
      </c>
      <c r="C40" s="9">
        <v>7.37</v>
      </c>
      <c r="D40" s="7">
        <f t="shared" si="0"/>
        <v>10.62017</v>
      </c>
    </row>
    <row r="41" spans="1:4" ht="18" x14ac:dyDescent="0.25">
      <c r="A41" s="4">
        <v>2017</v>
      </c>
      <c r="B41" s="3">
        <v>1410</v>
      </c>
      <c r="C41" s="9">
        <v>7.65</v>
      </c>
      <c r="D41" s="7">
        <f t="shared" si="0"/>
        <v>10.912725</v>
      </c>
    </row>
    <row r="42" spans="1:4" ht="18" x14ac:dyDescent="0.25">
      <c r="A42" s="4">
        <v>2018</v>
      </c>
      <c r="B42" s="3">
        <v>1383</v>
      </c>
      <c r="C42" s="9">
        <v>6.67</v>
      </c>
      <c r="D42" s="7">
        <f t="shared" si="0"/>
        <v>9.3146550000000001</v>
      </c>
    </row>
    <row r="43" spans="1:4" ht="18" x14ac:dyDescent="0.25">
      <c r="A43" s="4">
        <v>2019</v>
      </c>
      <c r="B43" s="3">
        <v>1385</v>
      </c>
      <c r="C43" s="9">
        <v>6.73</v>
      </c>
      <c r="D43" s="7">
        <f t="shared" si="0"/>
        <v>9.3143200000000004</v>
      </c>
    </row>
    <row r="44" spans="1:4" ht="18" x14ac:dyDescent="0.25">
      <c r="A44" s="4">
        <v>2020</v>
      </c>
      <c r="B44" s="3">
        <v>1386.6008999999999</v>
      </c>
      <c r="C44" s="9">
        <v>5.99</v>
      </c>
      <c r="D44" s="7">
        <f t="shared" si="0"/>
        <v>8.3009446955000001</v>
      </c>
    </row>
    <row r="45" spans="1:4" ht="18" x14ac:dyDescent="0.25">
      <c r="A45" s="4">
        <v>2021</v>
      </c>
      <c r="B45" s="3">
        <v>1373</v>
      </c>
      <c r="C45" s="9">
        <v>5.3</v>
      </c>
      <c r="D45" s="7">
        <f t="shared" si="0"/>
        <v>7.3129423849999995</v>
      </c>
    </row>
    <row r="46" spans="1:4" ht="18" x14ac:dyDescent="0.25">
      <c r="A46" s="4">
        <v>2022</v>
      </c>
      <c r="B46" s="3">
        <v>1363</v>
      </c>
      <c r="C46" s="9">
        <v>4.75</v>
      </c>
      <c r="D46" s="7">
        <f t="shared" si="0"/>
        <v>6.4980000000000002</v>
      </c>
    </row>
    <row r="47" spans="1:4" ht="18" x14ac:dyDescent="0.25">
      <c r="A47" s="8">
        <v>2023</v>
      </c>
      <c r="B47" s="3">
        <v>1364</v>
      </c>
      <c r="C47" s="9">
        <v>4.47</v>
      </c>
      <c r="D47" s="7">
        <f t="shared" si="0"/>
        <v>6.0948449999999994</v>
      </c>
    </row>
    <row r="48" spans="1:4" ht="18" x14ac:dyDescent="0.25">
      <c r="A48" s="4">
        <v>2024</v>
      </c>
      <c r="B48" s="3">
        <v>1364</v>
      </c>
      <c r="C48" s="9">
        <v>4.99</v>
      </c>
      <c r="D48" s="7">
        <f t="shared" si="0"/>
        <v>6.8063600000000006</v>
      </c>
    </row>
    <row r="49" spans="1:4" ht="18" x14ac:dyDescent="0.25">
      <c r="A49" s="4">
        <v>2025</v>
      </c>
      <c r="B49" s="3">
        <v>1363</v>
      </c>
      <c r="C49" s="9">
        <v>4.25</v>
      </c>
      <c r="D49" s="7">
        <f t="shared" si="0"/>
        <v>5.7948750000000002</v>
      </c>
    </row>
    <row r="50" spans="1:4" ht="58.2" customHeight="1" x14ac:dyDescent="0.25">
      <c r="A50" s="5" t="s">
        <v>0</v>
      </c>
      <c r="B50" s="5"/>
      <c r="C50" s="5"/>
      <c r="D50" s="5"/>
    </row>
    <row r="51" spans="1:4" ht="18" x14ac:dyDescent="0.35">
      <c r="A51" s="1"/>
      <c r="B51" s="2"/>
      <c r="C51" s="2"/>
      <c r="D51" s="2"/>
    </row>
    <row r="52" spans="1:4" ht="107.4" customHeight="1" x14ac:dyDescent="0.25">
      <c r="A52" s="10" t="s">
        <v>6</v>
      </c>
      <c r="B52" s="6"/>
      <c r="C52" s="6"/>
      <c r="D52" s="6"/>
    </row>
    <row r="53" spans="1:4" ht="22.2" customHeight="1" x14ac:dyDescent="0.25">
      <c r="A53" s="6" t="s">
        <v>5</v>
      </c>
      <c r="B53" s="6"/>
      <c r="C53" s="6"/>
      <c r="D53" s="6"/>
    </row>
  </sheetData>
  <mergeCells count="3">
    <mergeCell ref="A50:D50"/>
    <mergeCell ref="A52:D52"/>
    <mergeCell ref="A53:D5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2026-09-29T07:50:47Z</dcterms:modified>
</cp:coreProperties>
</file>