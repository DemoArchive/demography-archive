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江苏省\"/>
    </mc:Choice>
  </mc:AlternateContent>
  <xr:revisionPtr revIDLastSave="0" documentId="13_ncr:1_{C764DCBC-2B1D-464C-ACE3-0E1BE87753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<sst xmlns="http://schemas.openxmlformats.org/spreadsheetml/2006/main" count="6" uniqueCount="6">
  <si>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</si>
  <si>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</si>
  <si>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</si>
  <si>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</si>
  <si>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b/>
        <sz val="12"/>
        <color theme="1"/>
        <rFont val="楷体"/>
        <family val="3"/>
        <charset val="134"/>
      </rPr>
      <t>表格</t>
    </r>
    <r>
      <rPr>
        <b/>
        <sz val="12"/>
        <color theme="1"/>
        <rFont val="宋体"/>
        <family val="1"/>
        <charset val="134"/>
      </rPr>
      <t>中“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</t>
    </r>
    <r>
      <rPr>
        <b/>
        <sz val="12"/>
        <color theme="1"/>
        <rFont val="Times New Roman"/>
        <family val="3"/>
      </rPr>
      <t>2025</t>
    </r>
    <r>
      <rPr>
        <b/>
        <sz val="12"/>
        <color theme="1"/>
        <rFont val="楷体"/>
        <family val="3"/>
        <charset val="134"/>
      </rPr>
      <t>年和</t>
    </r>
    <r>
      <rPr>
        <b/>
        <sz val="12"/>
        <color theme="1"/>
        <rFont val="Times New Roman"/>
        <family val="3"/>
      </rPr>
      <t>2004</t>
    </r>
    <r>
      <rPr>
        <b/>
        <sz val="12"/>
        <color theme="1"/>
        <rFont val="楷体"/>
        <family val="3"/>
        <charset val="134"/>
      </rPr>
      <t>年《江苏省统计年鉴》中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年平均人口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（根据年鉴，此数据为全省常住人口），</t>
    </r>
    <r>
      <rPr>
        <b/>
        <sz val="12"/>
        <color theme="1"/>
        <rFont val="Times New Roman"/>
        <family val="1"/>
      </rPr>
      <t>1949</t>
    </r>
    <r>
      <rPr>
        <b/>
        <sz val="12"/>
        <color theme="1"/>
        <rFont val="楷体"/>
        <family val="3"/>
        <charset val="134"/>
      </rPr>
      <t>年数据来源于</t>
    </r>
    <r>
      <rPr>
        <b/>
        <sz val="12"/>
        <color theme="1"/>
        <rFont val="Times New Roman"/>
        <family val="1"/>
      </rPr>
      <t>2003</t>
    </r>
    <r>
      <rPr>
        <b/>
        <sz val="12"/>
        <color theme="1"/>
        <rFont val="楷体"/>
        <family val="3"/>
        <charset val="134"/>
      </rPr>
      <t>年《江苏省统计年鉴》中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；</t>
    </r>
    <r>
      <rPr>
        <b/>
        <sz val="12"/>
        <color theme="1"/>
        <rFont val="楷体"/>
        <family val="1"/>
        <charset val="134"/>
      </rPr>
      <t>“出生率”和“出生人口”来源于原始资料中对应数据。</t>
    </r>
    <r>
      <rPr>
        <b/>
        <sz val="12"/>
        <color theme="1"/>
        <rFont val="Times New Roman"/>
        <family val="1"/>
        <charset val="134"/>
      </rPr>
      <t>2025</t>
    </r>
    <r>
      <rPr>
        <b/>
        <sz val="12"/>
        <color theme="1"/>
        <rFont val="楷体"/>
        <family val="1"/>
        <charset val="134"/>
      </rPr>
      <t>年数据来源于《江苏省国民经济和社会发展统计公报》，其中“总人口”数据来源于原始资料中“年末常住人口”，“出生率”来源于对应数据，“出生人口”通过公式计算得出</t>
    </r>
    <r>
      <rPr>
        <b/>
        <sz val="12"/>
        <color theme="1"/>
        <rFont val="Times New Roman"/>
        <family val="1"/>
        <charset val="134"/>
      </rPr>
      <t xml:space="preserve">	</t>
    </r>
    <phoneticPr fontId="3" type="noConversion"/>
  </si>
  <si>
    <r>
      <rPr>
        <b/>
        <sz val="12"/>
        <color theme="1"/>
        <rFont val="楷体"/>
        <family val="3"/>
        <charset val="134"/>
      </rPr>
      <t>出生人口计算公式：出生人口</t>
    </r>
    <r>
      <rPr>
        <b/>
        <sz val="12"/>
        <color theme="1"/>
        <rFont val="Times New Roman"/>
        <family val="1"/>
      </rPr>
      <t xml:space="preserve"> = [</t>
    </r>
    <r>
      <rPr>
        <b/>
        <sz val="12"/>
        <color theme="1"/>
        <rFont val="楷体"/>
        <family val="3"/>
        <charset val="134"/>
      </rPr>
      <t>（上年总人口数</t>
    </r>
    <r>
      <rPr>
        <b/>
        <sz val="12"/>
        <color theme="1"/>
        <rFont val="Times New Roman"/>
        <family val="1"/>
      </rPr>
      <t>+</t>
    </r>
    <r>
      <rPr>
        <b/>
        <sz val="12"/>
        <color theme="1"/>
        <rFont val="楷体"/>
        <family val="3"/>
        <charset val="134"/>
      </rPr>
      <t>当年总人口数）</t>
    </r>
    <r>
      <rPr>
        <b/>
        <sz val="12"/>
        <color theme="1"/>
        <rFont val="Times New Roman"/>
        <family val="1"/>
      </rPr>
      <t>/2]×</t>
    </r>
    <r>
      <rPr>
        <b/>
        <sz val="12"/>
        <color theme="1"/>
        <rFont val="楷体"/>
        <family val="3"/>
        <charset val="134"/>
      </rPr>
      <t>出生率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</si>
</sst>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_ "/>
    <numFmt numFmtId="177" formatCode="0.0"/>
    <numFmt numFmtId="178" formatCode="0.0_);[Red]\(0.0\)"/>
  </numFmts>
  <fonts count="17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4"/>
      <name val="Times New Roman"/>
      <family val="1"/>
    </font>
    <font>
      <sz val="14"/>
      <color rgb="FF000000"/>
      <name val="Times New Roman"/>
      <family val="1"/>
    </font>
    <font>
      <sz val="12"/>
      <name val="宋体"/>
      <family val="3"/>
      <charset val="134"/>
    </font>
    <font>
      <b/>
      <sz val="12"/>
      <color theme="1"/>
      <name val="楷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微软雅黑"/>
      <family val="1"/>
      <charset val="134"/>
    </font>
    <font>
      <b/>
      <sz val="12"/>
      <color theme="1"/>
      <name val="宋体"/>
      <family val="1"/>
      <charset val="134"/>
    </font>
    <font>
      <b/>
      <sz val="12"/>
      <color theme="1"/>
      <name val="Times New Roman"/>
      <family val="1"/>
      <charset val="134"/>
    </font>
    <font>
      <b/>
      <sz val="12"/>
      <color theme="1"/>
      <name val="Times New Roman"/>
      <family val="3"/>
    </font>
    <font>
      <b/>
      <sz val="12"/>
      <color theme="1"/>
      <name val="楷体"/>
      <family val="1"/>
      <charset val="134"/>
    </font>
    <font>
      <b/>
      <sz val="12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>
      <alignment vertical="center"/>
    </xf>
    <xf numFmtId="0" fontId="8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78" fontId="7" fillId="0" borderId="1" xfId="0" applyNumberFormat="1" applyFont="1" applyBorder="1" applyAlignment="1">
      <alignment horizontal="right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7" fontId="7" fillId="0" borderId="1" xfId="0" applyNumberFormat="1" applyFont="1" applyBorder="1" applyAlignment="1">
      <alignment horizontal="right" vertical="center" wrapText="1"/>
    </xf>
    <xf numFmtId="177" fontId="1" fillId="0" borderId="1" xfId="0" applyNumberFormat="1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49" fontId="6" fillId="0" borderId="1" xfId="0" applyNumberFormat="1" applyFont="1" applyBorder="1" applyAlignment="1" applyProtection="1">
      <alignment horizontal="right" vertical="center" wrapText="1"/>
      <protection locked="0"/>
    </xf>
    <xf numFmtId="2" fontId="6" fillId="0" borderId="1" xfId="0" applyNumberFormat="1" applyFont="1" applyBorder="1" applyAlignment="1" applyProtection="1">
      <alignment horizontal="right" vertical="center" wrapText="1"/>
      <protection locked="0"/>
    </xf>
    <xf numFmtId="178" fontId="6" fillId="0" borderId="1" xfId="0" applyNumberFormat="1" applyFont="1" applyBorder="1" applyAlignment="1" applyProtection="1">
      <alignment horizontal="right" vertical="center" wrapText="1"/>
      <protection locked="0"/>
    </xf>
    <xf numFmtId="177" fontId="6" fillId="0" borderId="1" xfId="0" applyNumberFormat="1" applyFont="1" applyBorder="1" applyAlignment="1" applyProtection="1">
      <alignment horizontal="right" vertical="center" wrapText="1"/>
      <protection locked="0"/>
    </xf>
    <xf numFmtId="177" fontId="7" fillId="0" borderId="1" xfId="0" applyNumberFormat="1" applyFont="1" applyBorder="1" applyAlignment="1" applyProtection="1">
      <alignment horizontal="right" vertical="center" wrapText="1"/>
      <protection locked="0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176" fontId="1" fillId="0" borderId="1" xfId="0" applyNumberFormat="1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3">
    <cellStyle name="0,0_x000d__x000a_NA_x000d__x000a_ 2" xfId="2" xr:uid="{495800A5-B6D3-44CC-A5FE-8FD3949D6818}"/>
    <cellStyle name="常规" xfId="0" builtinId="0"/>
    <cellStyle name="常规 2" xfId="1" xr:uid="{5E8081DB-4BC1-49C2-99C6-C470DDA60514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AC66543-DB79-4C07-8F8D-31ADC610C267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F5789838-03F6-4DBB-96A1-29429D27CD05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49" workbookViewId="0">
      <selection activeCell="A61" sqref="A61:D61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3" t="s">
        <v>0</v>
      </c>
      <c r="B1" s="3" t="s">
        <v>2</v>
      </c>
      <c r="C1" s="3" t="s">
        <v>1</v>
      </c>
      <c r="D1" s="8" t="s">
        <v>3</v>
      </c>
    </row>
    <row r="2" spans="1:4" ht="18" x14ac:dyDescent="0.25">
      <c r="A2" s="2">
        <v>1949</v>
      </c>
      <c r="B2" s="6">
        <v>3512</v>
      </c>
      <c r="C2" s="2">
        <v>34.72</v>
      </c>
      <c r="D2" s="4">
        <v>121.94</v>
      </c>
    </row>
    <row r="3" spans="1:4" ht="18" x14ac:dyDescent="0.25">
      <c r="A3" s="2">
        <v>1952</v>
      </c>
      <c r="B3" s="7">
        <v>3697.5</v>
      </c>
      <c r="C3" s="2">
        <v>35.68</v>
      </c>
      <c r="D3" s="4">
        <v>131.93</v>
      </c>
    </row>
    <row r="4" spans="1:4" ht="18" x14ac:dyDescent="0.25">
      <c r="A4" s="2">
        <v>1957</v>
      </c>
      <c r="B4" s="7">
        <v>4136.05</v>
      </c>
      <c r="C4" s="2">
        <v>34.380000000000003</v>
      </c>
      <c r="D4" s="4">
        <v>142.19</v>
      </c>
    </row>
    <row r="5" spans="1:4" ht="18" x14ac:dyDescent="0.25">
      <c r="A5" s="2">
        <v>1962</v>
      </c>
      <c r="B5" s="7">
        <v>4288.57</v>
      </c>
      <c r="C5" s="2"/>
      <c r="D5" s="4"/>
    </row>
    <row r="6" spans="1:4" ht="18" x14ac:dyDescent="0.25">
      <c r="A6" s="2">
        <v>1965</v>
      </c>
      <c r="B6" s="7">
        <v>4567.75</v>
      </c>
      <c r="C6" s="2">
        <v>36.909999999999997</v>
      </c>
      <c r="D6" s="4">
        <v>168.59</v>
      </c>
    </row>
    <row r="7" spans="1:4" ht="18" x14ac:dyDescent="0.25">
      <c r="A7" s="2">
        <v>1970</v>
      </c>
      <c r="B7" s="7">
        <v>5185.3599999999997</v>
      </c>
      <c r="C7" s="2">
        <v>30.68</v>
      </c>
      <c r="D7" s="4">
        <v>159.06</v>
      </c>
    </row>
    <row r="8" spans="1:4" ht="18" x14ac:dyDescent="0.25">
      <c r="A8" s="9">
        <v>1975</v>
      </c>
      <c r="B8" s="7">
        <v>5600.91</v>
      </c>
      <c r="C8" s="2">
        <v>17.86</v>
      </c>
      <c r="D8" s="4">
        <v>100.01</v>
      </c>
    </row>
    <row r="9" spans="1:4" ht="18" x14ac:dyDescent="0.25">
      <c r="A9" s="9">
        <v>1976</v>
      </c>
      <c r="B9" s="7">
        <v>5668.44</v>
      </c>
      <c r="C9" s="3"/>
      <c r="D9" s="5"/>
    </row>
    <row r="10" spans="1:4" ht="18" x14ac:dyDescent="0.25">
      <c r="A10" s="9">
        <v>1977</v>
      </c>
      <c r="B10" s="7">
        <v>5733.02</v>
      </c>
      <c r="C10" s="3"/>
      <c r="D10" s="5"/>
    </row>
    <row r="11" spans="1:4" ht="18" x14ac:dyDescent="0.25">
      <c r="A11" s="9">
        <v>1978</v>
      </c>
      <c r="B11" s="7">
        <v>5799.81</v>
      </c>
      <c r="C11" s="3">
        <v>15.63</v>
      </c>
      <c r="D11" s="5">
        <v>90.62</v>
      </c>
    </row>
    <row r="12" spans="1:4" ht="18" x14ac:dyDescent="0.25">
      <c r="A12" s="9">
        <v>1979</v>
      </c>
      <c r="B12" s="7">
        <v>5863.44</v>
      </c>
      <c r="C12" s="3"/>
      <c r="D12" s="5"/>
    </row>
    <row r="13" spans="1:4" ht="18" x14ac:dyDescent="0.25">
      <c r="A13" s="9">
        <v>1980</v>
      </c>
      <c r="B13" s="7">
        <v>5915.37</v>
      </c>
      <c r="C13" s="3">
        <v>14.69</v>
      </c>
      <c r="D13" s="5">
        <v>86.9</v>
      </c>
    </row>
    <row r="14" spans="1:4" ht="18" x14ac:dyDescent="0.25">
      <c r="A14" s="9">
        <v>1981</v>
      </c>
      <c r="B14" s="7">
        <v>5974.22</v>
      </c>
      <c r="C14" s="3"/>
      <c r="D14" s="5"/>
    </row>
    <row r="15" spans="1:4" ht="18" x14ac:dyDescent="0.25">
      <c r="A15" s="9">
        <v>1982</v>
      </c>
      <c r="B15" s="7">
        <v>6049.59</v>
      </c>
      <c r="C15" s="3"/>
      <c r="D15" s="5"/>
    </row>
    <row r="16" spans="1:4" ht="18" x14ac:dyDescent="0.25">
      <c r="A16" s="9">
        <v>1983</v>
      </c>
      <c r="B16" s="7">
        <v>6111.97</v>
      </c>
      <c r="C16" s="3"/>
      <c r="D16" s="5"/>
    </row>
    <row r="17" spans="1:4" ht="18" x14ac:dyDescent="0.25">
      <c r="A17" s="9">
        <v>1984</v>
      </c>
      <c r="B17" s="7">
        <v>6153.21</v>
      </c>
      <c r="C17" s="3"/>
      <c r="D17" s="5"/>
    </row>
    <row r="18" spans="1:4" ht="18" x14ac:dyDescent="0.25">
      <c r="A18" s="9">
        <v>1985</v>
      </c>
      <c r="B18" s="7">
        <v>6192.46</v>
      </c>
      <c r="C18" s="3">
        <v>10.84</v>
      </c>
      <c r="D18" s="5">
        <v>67.11</v>
      </c>
    </row>
    <row r="19" spans="1:4" ht="18" x14ac:dyDescent="0.25">
      <c r="A19" s="9">
        <v>1986</v>
      </c>
      <c r="B19" s="7">
        <v>6241.69</v>
      </c>
      <c r="C19" s="3"/>
      <c r="D19" s="5"/>
    </row>
    <row r="20" spans="1:4" ht="18" x14ac:dyDescent="0.25">
      <c r="A20" s="9">
        <v>1987</v>
      </c>
      <c r="B20" s="7">
        <v>6308.95</v>
      </c>
      <c r="C20" s="3"/>
      <c r="D20" s="5"/>
    </row>
    <row r="21" spans="1:4" ht="18" x14ac:dyDescent="0.25">
      <c r="A21" s="9">
        <v>1988</v>
      </c>
      <c r="B21" s="7">
        <v>6393.14</v>
      </c>
      <c r="C21" s="3"/>
      <c r="D21" s="5"/>
    </row>
    <row r="22" spans="1:4" ht="18" x14ac:dyDescent="0.25">
      <c r="A22" s="9">
        <v>1989</v>
      </c>
      <c r="B22" s="7">
        <v>6487.06</v>
      </c>
      <c r="C22" s="3">
        <v>17.149999999999999</v>
      </c>
      <c r="D22" s="5">
        <v>111.27</v>
      </c>
    </row>
    <row r="23" spans="1:4" ht="18" x14ac:dyDescent="0.25">
      <c r="A23" s="9">
        <v>1990</v>
      </c>
      <c r="B23" s="7">
        <v>6651.38</v>
      </c>
      <c r="C23" s="10">
        <v>20.54</v>
      </c>
      <c r="D23" s="11">
        <v>137.96</v>
      </c>
    </row>
    <row r="24" spans="1:4" ht="18" x14ac:dyDescent="0.25">
      <c r="A24" s="9">
        <v>1991</v>
      </c>
      <c r="B24" s="12">
        <v>6805.3</v>
      </c>
      <c r="C24" s="10">
        <v>17.05</v>
      </c>
      <c r="D24" s="11">
        <v>116.03</v>
      </c>
    </row>
    <row r="25" spans="1:4" ht="18" x14ac:dyDescent="0.25">
      <c r="A25" s="9">
        <v>1992</v>
      </c>
      <c r="B25" s="12">
        <v>6877.45</v>
      </c>
      <c r="C25" s="10">
        <v>15.71</v>
      </c>
      <c r="D25" s="11">
        <v>108.04</v>
      </c>
    </row>
    <row r="26" spans="1:4" ht="18" x14ac:dyDescent="0.25">
      <c r="A26" s="9">
        <v>1993</v>
      </c>
      <c r="B26" s="12">
        <v>6939.24</v>
      </c>
      <c r="C26" s="10">
        <v>13.97</v>
      </c>
      <c r="D26" s="11">
        <v>96.94</v>
      </c>
    </row>
    <row r="27" spans="1:4" ht="18" x14ac:dyDescent="0.25">
      <c r="A27" s="9">
        <v>1994</v>
      </c>
      <c r="B27" s="12">
        <v>6993.91</v>
      </c>
      <c r="C27" s="10">
        <v>13.78</v>
      </c>
      <c r="D27" s="11">
        <v>96.38</v>
      </c>
    </row>
    <row r="28" spans="1:4" ht="18" x14ac:dyDescent="0.25">
      <c r="A28" s="9">
        <v>1995</v>
      </c>
      <c r="B28" s="12">
        <v>7043.28</v>
      </c>
      <c r="C28" s="10">
        <v>12.32</v>
      </c>
      <c r="D28" s="11">
        <v>86.77</v>
      </c>
    </row>
    <row r="29" spans="1:4" ht="18" x14ac:dyDescent="0.25">
      <c r="A29" s="9">
        <v>1996</v>
      </c>
      <c r="B29" s="12">
        <v>7088.09</v>
      </c>
      <c r="C29" s="10">
        <v>12.11</v>
      </c>
      <c r="D29" s="11">
        <v>85.84</v>
      </c>
    </row>
    <row r="30" spans="1:4" ht="18" x14ac:dyDescent="0.25">
      <c r="A30" s="9">
        <v>1997</v>
      </c>
      <c r="B30" s="12">
        <v>7129.01</v>
      </c>
      <c r="C30" s="10">
        <v>11.43</v>
      </c>
      <c r="D30" s="11">
        <v>81.47</v>
      </c>
    </row>
    <row r="31" spans="1:4" ht="18" x14ac:dyDescent="0.25">
      <c r="A31" s="9">
        <v>1998</v>
      </c>
      <c r="B31" s="12">
        <v>7165.16</v>
      </c>
      <c r="C31" s="10">
        <v>10.97</v>
      </c>
      <c r="D31" s="11">
        <v>78.599999999999994</v>
      </c>
    </row>
    <row r="32" spans="1:4" ht="18" x14ac:dyDescent="0.25">
      <c r="A32" s="9">
        <v>1999</v>
      </c>
      <c r="B32" s="12">
        <v>7197.8</v>
      </c>
      <c r="C32" s="10">
        <v>10.5</v>
      </c>
      <c r="D32" s="11">
        <v>75.58</v>
      </c>
    </row>
    <row r="33" spans="1:4" ht="18" x14ac:dyDescent="0.25">
      <c r="A33" s="9">
        <v>2000</v>
      </c>
      <c r="B33" s="12">
        <v>7270.19</v>
      </c>
      <c r="C33" s="10">
        <v>9.08</v>
      </c>
      <c r="D33" s="11">
        <v>66.010000000000005</v>
      </c>
    </row>
    <row r="34" spans="1:4" ht="18" x14ac:dyDescent="0.25">
      <c r="A34" s="9">
        <v>2001</v>
      </c>
      <c r="B34" s="12">
        <v>7342.88</v>
      </c>
      <c r="C34" s="10">
        <v>9.0299999999999994</v>
      </c>
      <c r="D34" s="11">
        <v>66.306206399999994</v>
      </c>
    </row>
    <row r="35" spans="1:4" ht="18" x14ac:dyDescent="0.25">
      <c r="A35" s="9">
        <v>2002</v>
      </c>
      <c r="B35" s="12">
        <v>7382.01</v>
      </c>
      <c r="C35" s="10">
        <v>9.17</v>
      </c>
      <c r="D35" s="11">
        <v>67.693031700000006</v>
      </c>
    </row>
    <row r="36" spans="1:4" ht="18" x14ac:dyDescent="0.25">
      <c r="A36" s="9">
        <v>2003</v>
      </c>
      <c r="B36" s="12">
        <v>7431.6</v>
      </c>
      <c r="C36" s="10">
        <v>9.0399999999999991</v>
      </c>
      <c r="D36" s="11">
        <v>67.181663999999998</v>
      </c>
    </row>
    <row r="37" spans="1:4" ht="18" x14ac:dyDescent="0.25">
      <c r="A37" s="9">
        <v>2004</v>
      </c>
      <c r="B37" s="12">
        <v>7490.33</v>
      </c>
      <c r="C37" s="10">
        <v>9.4499999999999993</v>
      </c>
      <c r="D37" s="11">
        <v>70.783571249999994</v>
      </c>
    </row>
    <row r="38" spans="1:4" ht="18" x14ac:dyDescent="0.25">
      <c r="A38" s="9">
        <v>2005</v>
      </c>
      <c r="B38" s="12">
        <v>7555.59</v>
      </c>
      <c r="C38" s="10">
        <v>9.24</v>
      </c>
      <c r="D38" s="11">
        <v>69.813689886199995</v>
      </c>
    </row>
    <row r="39" spans="1:4" ht="18" x14ac:dyDescent="0.25">
      <c r="A39" s="9">
        <v>2006</v>
      </c>
      <c r="B39" s="12">
        <v>7621.95</v>
      </c>
      <c r="C39" s="10">
        <v>9.36</v>
      </c>
      <c r="D39" s="11">
        <v>71.341462703399998</v>
      </c>
    </row>
    <row r="40" spans="1:4" ht="18" x14ac:dyDescent="0.25">
      <c r="A40" s="9">
        <v>2007</v>
      </c>
      <c r="B40" s="12">
        <v>7689.4</v>
      </c>
      <c r="C40" s="10">
        <v>9.3699999999999992</v>
      </c>
      <c r="D40" s="11">
        <v>72.049640519999997</v>
      </c>
    </row>
    <row r="41" spans="1:4" ht="18" x14ac:dyDescent="0.25">
      <c r="A41" s="9">
        <v>2008</v>
      </c>
      <c r="B41" s="12">
        <v>7742.81</v>
      </c>
      <c r="C41" s="10">
        <v>9.34</v>
      </c>
      <c r="D41" s="11">
        <v>72.317798699999997</v>
      </c>
    </row>
    <row r="42" spans="1:4" ht="18" x14ac:dyDescent="0.25">
      <c r="A42" s="9">
        <v>2009</v>
      </c>
      <c r="B42" s="12">
        <v>7786.38</v>
      </c>
      <c r="C42" s="10">
        <v>9.5500000000000007</v>
      </c>
      <c r="D42" s="11">
        <v>74.359886024999994</v>
      </c>
    </row>
    <row r="43" spans="1:4" ht="18" x14ac:dyDescent="0.25">
      <c r="A43" s="9">
        <v>2010</v>
      </c>
      <c r="B43" s="12">
        <v>7839.8050000000003</v>
      </c>
      <c r="C43" s="10">
        <v>9.7333313676</v>
      </c>
      <c r="D43" s="11">
        <v>76.31</v>
      </c>
    </row>
    <row r="44" spans="1:4" ht="18" x14ac:dyDescent="0.25">
      <c r="A44" s="9">
        <v>2011</v>
      </c>
      <c r="B44" s="12">
        <v>7946.165</v>
      </c>
      <c r="C44" s="10">
        <v>9.52</v>
      </c>
      <c r="D44" s="11">
        <v>75.61</v>
      </c>
    </row>
    <row r="45" spans="1:4" ht="18" x14ac:dyDescent="0.25">
      <c r="A45" s="9">
        <v>2012</v>
      </c>
      <c r="B45" s="12">
        <v>8071.4</v>
      </c>
      <c r="C45" s="10">
        <v>9.25</v>
      </c>
      <c r="D45" s="11">
        <v>74.67</v>
      </c>
    </row>
    <row r="46" spans="1:4" ht="18" x14ac:dyDescent="0.25">
      <c r="A46" s="9">
        <v>2013</v>
      </c>
      <c r="B46" s="12">
        <v>8156.125</v>
      </c>
      <c r="C46" s="10">
        <v>9.18</v>
      </c>
      <c r="D46" s="11">
        <v>74.86</v>
      </c>
    </row>
    <row r="47" spans="1:4" ht="18" x14ac:dyDescent="0.25">
      <c r="A47" s="9">
        <v>2014</v>
      </c>
      <c r="B47" s="12">
        <v>8236.7649999999994</v>
      </c>
      <c r="C47" s="10">
        <v>9.1199999999999992</v>
      </c>
      <c r="D47" s="11">
        <v>75.13</v>
      </c>
    </row>
    <row r="48" spans="1:4" ht="18" x14ac:dyDescent="0.25">
      <c r="A48" s="9">
        <v>2015</v>
      </c>
      <c r="B48" s="12">
        <v>8298.1</v>
      </c>
      <c r="C48" s="10">
        <v>8.69</v>
      </c>
      <c r="D48" s="11">
        <v>72.11</v>
      </c>
    </row>
    <row r="49" spans="1:4" ht="18" x14ac:dyDescent="0.25">
      <c r="A49" s="9">
        <v>2016</v>
      </c>
      <c r="B49" s="12">
        <v>8348.2900000000009</v>
      </c>
      <c r="C49" s="10">
        <v>9.34</v>
      </c>
      <c r="D49" s="11">
        <v>77.959999999999994</v>
      </c>
    </row>
    <row r="50" spans="1:4" ht="18" x14ac:dyDescent="0.25">
      <c r="A50" s="9">
        <v>2017</v>
      </c>
      <c r="B50" s="13">
        <v>8402.4850000000006</v>
      </c>
      <c r="C50" s="10">
        <v>9.26</v>
      </c>
      <c r="D50" s="11">
        <v>77.819999999999993</v>
      </c>
    </row>
    <row r="51" spans="1:4" ht="18" x14ac:dyDescent="0.25">
      <c r="A51" s="9">
        <v>2018</v>
      </c>
      <c r="B51" s="13">
        <v>8434.8449999999993</v>
      </c>
      <c r="C51" s="10">
        <v>8.8800000000000008</v>
      </c>
      <c r="D51" s="11">
        <v>74.930000000000007</v>
      </c>
    </row>
    <row r="52" spans="1:4" ht="18" x14ac:dyDescent="0.25">
      <c r="A52" s="9">
        <v>2019</v>
      </c>
      <c r="B52" s="13">
        <v>8457.64</v>
      </c>
      <c r="C52" s="10">
        <v>8.69</v>
      </c>
      <c r="D52" s="11">
        <v>73.510000000000005</v>
      </c>
    </row>
    <row r="53" spans="1:4" ht="18" x14ac:dyDescent="0.25">
      <c r="A53" s="9">
        <v>2020</v>
      </c>
      <c r="B53" s="13">
        <v>8473.1749999999993</v>
      </c>
      <c r="C53" s="10">
        <v>6.66</v>
      </c>
      <c r="D53" s="11">
        <v>56.43</v>
      </c>
    </row>
    <row r="54" spans="1:4" ht="18" x14ac:dyDescent="0.25">
      <c r="A54" s="9">
        <v>2021</v>
      </c>
      <c r="B54" s="13">
        <v>8491.33</v>
      </c>
      <c r="C54" s="10">
        <v>5.65</v>
      </c>
      <c r="D54" s="11">
        <v>47.98</v>
      </c>
    </row>
    <row r="55" spans="1:4" ht="18" x14ac:dyDescent="0.25">
      <c r="A55" s="9">
        <v>2022</v>
      </c>
      <c r="B55" s="13">
        <v>8510.2000000000007</v>
      </c>
      <c r="C55" s="10">
        <v>5.23</v>
      </c>
      <c r="D55" s="11">
        <v>44.5</v>
      </c>
    </row>
    <row r="56" spans="1:4" ht="18" x14ac:dyDescent="0.25">
      <c r="A56" s="9">
        <v>2023</v>
      </c>
      <c r="B56" s="13">
        <v>8520.5</v>
      </c>
      <c r="C56" s="10">
        <v>4.8099999999999996</v>
      </c>
      <c r="D56" s="11">
        <v>41</v>
      </c>
    </row>
    <row r="57" spans="1:4" ht="18" x14ac:dyDescent="0.25">
      <c r="A57" s="9">
        <v>2024</v>
      </c>
      <c r="B57" s="13">
        <v>8526</v>
      </c>
      <c r="C57" s="10">
        <v>4.9800000000000004</v>
      </c>
      <c r="D57" s="11">
        <v>42.5</v>
      </c>
    </row>
    <row r="58" spans="1:4" ht="18" x14ac:dyDescent="0.35">
      <c r="A58" s="14">
        <v>2025</v>
      </c>
      <c r="B58" s="15">
        <v>8518</v>
      </c>
      <c r="C58" s="15">
        <v>4.2</v>
      </c>
      <c r="D58" s="16">
        <f>(B57+B58)/2*C58/1000</f>
        <v>35.792400000000001</v>
      </c>
    </row>
    <row r="59" spans="1:4" ht="18" x14ac:dyDescent="0.25">
      <c r="A59" s="1"/>
      <c r="B59" s="1"/>
      <c r="C59" s="1"/>
      <c r="D59" s="1"/>
    </row>
    <row r="60" spans="1:4" ht="123" customHeight="1" x14ac:dyDescent="0.25">
      <c r="A60" s="17" t="s">
        <v>4</v>
      </c>
      <c r="B60" s="18"/>
      <c r="C60" s="18"/>
      <c r="D60" s="18"/>
    </row>
    <row r="61" spans="1:4" ht="43.2" customHeight="1" x14ac:dyDescent="0.25">
      <c r="A61" s="17" t="s">
        <v>5</v>
      </c>
      <c r="B61" s="18"/>
      <c r="C61" s="18"/>
      <c r="D61" s="18"/>
    </row>
  </sheetData>
  <mergeCells count="2">
    <mergeCell ref="A60:D60"/>
    <mergeCell ref="A61:D6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2026-09-29T07:32:42Z</dcterms:modified>
</cp:coreProperties>
</file>