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新疆维吾尔自治区\"/>
    </mc:Choice>
  </mc:AlternateContent>
  <xr:revisionPtr revIDLastSave="0" documentId="13_ncr:1_{6FAA396C-D16C-411E-BC73-EEE80BDA4B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20" i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<sst xmlns="http://schemas.openxmlformats.org/spreadsheetml/2006/main" count="7" uniqueCount="7">
  <si>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</si>
  <si>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</si>
  <si>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</si>
  <si>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</si>
  <si>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1" type="noConversion"/>
  </si>
  <si>
    <r>
      <rPr>
        <b/>
        <sz val="12"/>
        <color theme="1"/>
        <rFont val="楷体"/>
        <family val="3"/>
        <charset val="134"/>
      </rPr>
      <t>数据来源：</t>
    </r>
    <r>
      <rPr>
        <b/>
        <sz val="12"/>
        <color theme="1"/>
        <rFont val="Times New Roman"/>
        <family val="1"/>
      </rPr>
      <t>2019</t>
    </r>
    <r>
      <rPr>
        <b/>
        <sz val="12"/>
        <color theme="1"/>
        <rFont val="楷体"/>
        <family val="3"/>
        <charset val="134"/>
      </rPr>
      <t>年之前数据来源于不同年份《新疆维吾尔自治区统计年鉴》；</t>
    </r>
    <r>
      <rPr>
        <b/>
        <sz val="12"/>
        <color theme="1"/>
        <rFont val="Times New Roman"/>
        <family val="1"/>
      </rPr>
      <t>2019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2020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2022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2024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年数据来源于《新疆维吾尔自治区国民经济和社会发展统计公报》；</t>
    </r>
    <r>
      <rPr>
        <b/>
        <sz val="12"/>
        <color theme="1"/>
        <rFont val="Times New Roman"/>
        <family val="1"/>
      </rPr>
      <t>2021</t>
    </r>
    <r>
      <rPr>
        <b/>
        <sz val="12"/>
        <color theme="1"/>
        <rFont val="楷体"/>
        <family val="3"/>
        <charset val="134"/>
      </rPr>
      <t>年数据来源于《</t>
    </r>
    <r>
      <rPr>
        <b/>
        <sz val="12"/>
        <color theme="1"/>
        <rFont val="Times New Roman"/>
        <family val="1"/>
      </rPr>
      <t>2020</t>
    </r>
    <r>
      <rPr>
        <b/>
        <sz val="12"/>
        <color theme="1"/>
        <rFont val="楷体"/>
        <family val="3"/>
        <charset val="134"/>
      </rPr>
      <t>中国人口普查年鉴》，</t>
    </r>
    <r>
      <rPr>
        <b/>
        <sz val="12"/>
        <color theme="1"/>
        <rFont val="Times New Roman"/>
        <family val="1"/>
      </rPr>
      <t>2023</t>
    </r>
    <r>
      <rPr>
        <b/>
        <sz val="12"/>
        <color theme="1"/>
        <rFont val="楷体"/>
        <family val="3"/>
        <charset val="134"/>
      </rPr>
      <t>年数据来源于《</t>
    </r>
    <r>
      <rPr>
        <b/>
        <sz val="12"/>
        <color theme="1"/>
        <rFont val="Times New Roman"/>
        <family val="1"/>
      </rPr>
      <t>2024</t>
    </r>
    <r>
      <rPr>
        <b/>
        <sz val="12"/>
        <color theme="1"/>
        <rFont val="楷体"/>
        <family val="3"/>
        <charset val="134"/>
      </rPr>
      <t>年中国统计年鉴》。</t>
    </r>
    <phoneticPr fontId="1" type="noConversion"/>
  </si>
  <si>
    <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数据分别来源于</t>
    </r>
    <r>
      <rPr>
        <b/>
        <sz val="12"/>
        <color theme="1"/>
        <rFont val="Times New Roman"/>
        <family val="1"/>
      </rPr>
      <t>[</t>
    </r>
    <r>
      <rPr>
        <b/>
        <sz val="12"/>
        <color theme="1"/>
        <rFont val="楷体"/>
        <family val="3"/>
        <charset val="134"/>
      </rPr>
      <t>统计年鉴</t>
    </r>
    <r>
      <rPr>
        <b/>
        <sz val="12"/>
        <color theme="1"/>
        <rFont val="Times New Roman"/>
        <family val="1"/>
      </rPr>
      <t xml:space="preserve"> - </t>
    </r>
    <r>
      <rPr>
        <b/>
        <sz val="12"/>
        <color theme="1"/>
        <rFont val="楷体"/>
        <family val="3"/>
        <charset val="134"/>
      </rPr>
      <t>年末总人口</t>
    </r>
    <r>
      <rPr>
        <b/>
        <sz val="12"/>
        <color theme="1"/>
        <rFont val="Times New Roman"/>
        <family val="1"/>
      </rPr>
      <t>]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[</t>
    </r>
    <r>
      <rPr>
        <b/>
        <sz val="12"/>
        <color theme="1"/>
        <rFont val="楷体"/>
        <family val="3"/>
        <charset val="134"/>
      </rPr>
      <t>国民经济和社会发展统计公报</t>
    </r>
    <r>
      <rPr>
        <b/>
        <sz val="12"/>
        <color theme="1"/>
        <rFont val="Times New Roman"/>
        <family val="1"/>
      </rPr>
      <t xml:space="preserve"> - </t>
    </r>
    <r>
      <rPr>
        <b/>
        <sz val="12"/>
        <color theme="1"/>
        <rFont val="楷体"/>
        <family val="3"/>
        <charset val="134"/>
      </rPr>
      <t>年末全区常住人口</t>
    </r>
    <r>
      <rPr>
        <b/>
        <sz val="12"/>
        <color theme="1"/>
        <rFont val="Times New Roman"/>
        <family val="1"/>
      </rPr>
      <t>]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[2020</t>
    </r>
    <r>
      <rPr>
        <b/>
        <sz val="12"/>
        <color theme="1"/>
        <rFont val="楷体"/>
        <family val="3"/>
        <charset val="134"/>
      </rPr>
      <t>中国人口普查年鉴</t>
    </r>
    <r>
      <rPr>
        <b/>
        <sz val="12"/>
        <color theme="1"/>
        <rFont val="Times New Roman"/>
        <family val="1"/>
      </rPr>
      <t xml:space="preserve"> - 0</t>
    </r>
    <r>
      <rPr>
        <b/>
        <sz val="12"/>
        <color theme="1"/>
        <rFont val="楷体"/>
        <family val="3"/>
        <charset val="134"/>
      </rPr>
      <t>岁人口</t>
    </r>
    <r>
      <rPr>
        <b/>
        <sz val="12"/>
        <color theme="1"/>
        <rFont val="Times New Roman"/>
        <family val="1"/>
      </rPr>
      <t>]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数据来源于原始资料中的对应数据，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</si>
</sst>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2"/>
      <color theme="1"/>
      <name val="Times New Roman"/>
      <family val="3"/>
      <charset val="134"/>
    </font>
    <font>
      <b/>
      <sz val="12"/>
      <color theme="1"/>
      <name val="楷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7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177" fontId="2" fillId="0" borderId="1" xfId="0" applyNumberFormat="1" applyFont="1" applyBorder="1" applyAlignment="1">
      <alignment horizontal="right" vertical="center" wrapText="1"/>
    </xf>
    <xf numFmtId="177" fontId="8" fillId="0" borderId="1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25" workbookViewId="0">
      <selection activeCell="D32" sqref="D32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3" t="s">
        <v>0</v>
      </c>
      <c r="B1" s="3" t="s">
        <v>2</v>
      </c>
      <c r="C1" s="3" t="s">
        <v>1</v>
      </c>
      <c r="D1" s="5" t="s">
        <v>3</v>
      </c>
    </row>
    <row r="2" spans="1:4" ht="18" x14ac:dyDescent="0.25">
      <c r="A2" s="3">
        <v>1957</v>
      </c>
      <c r="B2" s="6"/>
      <c r="C2" s="3">
        <v>31.48</v>
      </c>
      <c r="D2" s="11"/>
    </row>
    <row r="3" spans="1:4" ht="18" x14ac:dyDescent="0.25">
      <c r="A3" s="7">
        <v>1962</v>
      </c>
      <c r="B3" s="6"/>
      <c r="C3" s="3">
        <v>32.020000000000003</v>
      </c>
      <c r="D3" s="11"/>
    </row>
    <row r="4" spans="1:4" ht="18" x14ac:dyDescent="0.25">
      <c r="A4" s="7">
        <v>1965</v>
      </c>
      <c r="B4" s="6"/>
      <c r="C4" s="3">
        <v>41.65</v>
      </c>
      <c r="D4" s="11"/>
    </row>
    <row r="5" spans="1:4" ht="18" x14ac:dyDescent="0.25">
      <c r="A5" s="7">
        <v>1966</v>
      </c>
      <c r="B5" s="6"/>
      <c r="C5" s="3">
        <v>38.08</v>
      </c>
      <c r="D5" s="11"/>
    </row>
    <row r="6" spans="1:4" ht="18" x14ac:dyDescent="0.25">
      <c r="A6" s="7">
        <v>1967</v>
      </c>
      <c r="B6" s="6"/>
      <c r="C6" s="3">
        <v>37.159999999999997</v>
      </c>
      <c r="D6" s="11"/>
    </row>
    <row r="7" spans="1:4" ht="18" x14ac:dyDescent="0.25">
      <c r="A7" s="7">
        <v>1968</v>
      </c>
      <c r="B7" s="6"/>
      <c r="C7" s="3">
        <v>40.729999999999997</v>
      </c>
      <c r="D7" s="11"/>
    </row>
    <row r="8" spans="1:4" ht="18" x14ac:dyDescent="0.25">
      <c r="A8" s="7">
        <v>1969</v>
      </c>
      <c r="B8" s="6"/>
      <c r="C8" s="3">
        <v>38.81</v>
      </c>
      <c r="D8" s="11"/>
    </row>
    <row r="9" spans="1:4" ht="18" x14ac:dyDescent="0.25">
      <c r="A9" s="7">
        <v>1970</v>
      </c>
      <c r="B9" s="6"/>
      <c r="C9" s="3">
        <v>36.630000000000003</v>
      </c>
      <c r="D9" s="11"/>
    </row>
    <row r="10" spans="1:4" ht="18" x14ac:dyDescent="0.25">
      <c r="A10" s="7">
        <v>1971</v>
      </c>
      <c r="B10" s="6"/>
      <c r="C10" s="3">
        <v>35.020000000000003</v>
      </c>
      <c r="D10" s="11"/>
    </row>
    <row r="11" spans="1:4" ht="18" x14ac:dyDescent="0.25">
      <c r="A11" s="7">
        <v>1972</v>
      </c>
      <c r="B11" s="6"/>
      <c r="C11" s="3">
        <v>38.36</v>
      </c>
      <c r="D11" s="11"/>
    </row>
    <row r="12" spans="1:4" ht="18" x14ac:dyDescent="0.25">
      <c r="A12" s="7">
        <v>1973</v>
      </c>
      <c r="B12" s="6"/>
      <c r="C12" s="3">
        <v>38.01</v>
      </c>
      <c r="D12" s="11"/>
    </row>
    <row r="13" spans="1:4" ht="18" x14ac:dyDescent="0.25">
      <c r="A13" s="7">
        <v>1974</v>
      </c>
      <c r="B13" s="6"/>
      <c r="C13" s="3">
        <v>35.869999999999997</v>
      </c>
      <c r="D13" s="11"/>
    </row>
    <row r="14" spans="1:4" ht="18" x14ac:dyDescent="0.25">
      <c r="A14" s="7">
        <v>1975</v>
      </c>
      <c r="B14" s="6"/>
      <c r="C14" s="3">
        <v>33.1</v>
      </c>
      <c r="D14" s="11"/>
    </row>
    <row r="15" spans="1:4" ht="18" x14ac:dyDescent="0.25">
      <c r="A15" s="7">
        <v>1976</v>
      </c>
      <c r="B15" s="6"/>
      <c r="C15" s="3">
        <v>28.96</v>
      </c>
      <c r="D15" s="11"/>
    </row>
    <row r="16" spans="1:4" ht="18" x14ac:dyDescent="0.25">
      <c r="A16" s="7">
        <v>1977</v>
      </c>
      <c r="B16" s="6"/>
      <c r="C16" s="3">
        <v>26.06</v>
      </c>
      <c r="D16" s="11"/>
    </row>
    <row r="17" spans="1:4" ht="18" x14ac:dyDescent="0.25">
      <c r="A17" s="7">
        <v>1978</v>
      </c>
      <c r="B17" s="6">
        <v>1233.01</v>
      </c>
      <c r="C17" s="7">
        <v>22.55</v>
      </c>
      <c r="D17" s="11"/>
    </row>
    <row r="18" spans="1:4" ht="18" x14ac:dyDescent="0.25">
      <c r="A18" s="7">
        <v>1979</v>
      </c>
      <c r="B18" s="6"/>
      <c r="C18" s="7">
        <v>22.54</v>
      </c>
      <c r="D18" s="11"/>
    </row>
    <row r="19" spans="1:4" ht="18" x14ac:dyDescent="0.25">
      <c r="A19" s="7">
        <v>1980</v>
      </c>
      <c r="B19" s="6">
        <v>1283.24</v>
      </c>
      <c r="C19" s="7">
        <v>21.28</v>
      </c>
      <c r="D19" s="11"/>
    </row>
    <row r="20" spans="1:4" ht="18" x14ac:dyDescent="0.25">
      <c r="A20" s="7">
        <v>1985</v>
      </c>
      <c r="B20" s="6">
        <v>1361.14</v>
      </c>
      <c r="C20" s="7">
        <v>19.8</v>
      </c>
      <c r="D20" s="11">
        <f>(B19+B20)/2*C20/1000</f>
        <v>26.179362000000001</v>
      </c>
    </row>
    <row r="21" spans="1:4" ht="18" x14ac:dyDescent="0.25">
      <c r="A21" s="8">
        <v>1986</v>
      </c>
      <c r="B21" s="6">
        <v>1383.64</v>
      </c>
      <c r="C21" s="7">
        <v>20.54</v>
      </c>
      <c r="D21" s="11">
        <f t="shared" ref="D21:D53" si="0">(B20+B21)/2*C21/1000</f>
        <v>28.188890600000004</v>
      </c>
    </row>
    <row r="22" spans="1:4" ht="18" x14ac:dyDescent="0.25">
      <c r="A22" s="8">
        <v>1987</v>
      </c>
      <c r="B22" s="6">
        <v>1406.33</v>
      </c>
      <c r="C22" s="7">
        <v>21.03</v>
      </c>
      <c r="D22" s="11">
        <f t="shared" si="0"/>
        <v>29.336534550000003</v>
      </c>
    </row>
    <row r="23" spans="1:4" ht="18" x14ac:dyDescent="0.25">
      <c r="A23" s="8">
        <v>1988</v>
      </c>
      <c r="B23" s="6">
        <v>1426.42</v>
      </c>
      <c r="C23" s="7">
        <v>19.72</v>
      </c>
      <c r="D23" s="11">
        <f t="shared" si="0"/>
        <v>27.930914999999999</v>
      </c>
    </row>
    <row r="24" spans="1:4" ht="18" x14ac:dyDescent="0.25">
      <c r="A24" s="8">
        <v>1989</v>
      </c>
      <c r="B24" s="6">
        <v>1454.16</v>
      </c>
      <c r="C24" s="7">
        <v>21.15</v>
      </c>
      <c r="D24" s="11">
        <f t="shared" si="0"/>
        <v>30.462133499999997</v>
      </c>
    </row>
    <row r="25" spans="1:4" ht="18" x14ac:dyDescent="0.25">
      <c r="A25" s="8">
        <v>1990</v>
      </c>
      <c r="B25" s="6">
        <v>1529.16</v>
      </c>
      <c r="C25" s="7">
        <v>26.41</v>
      </c>
      <c r="D25" s="11">
        <f t="shared" si="0"/>
        <v>39.394740600000006</v>
      </c>
    </row>
    <row r="26" spans="1:4" ht="18" x14ac:dyDescent="0.25">
      <c r="A26" s="8">
        <v>1991</v>
      </c>
      <c r="B26" s="6">
        <v>1554.57</v>
      </c>
      <c r="C26" s="7">
        <v>24.45</v>
      </c>
      <c r="D26" s="11">
        <f t="shared" si="0"/>
        <v>37.698599250000001</v>
      </c>
    </row>
    <row r="27" spans="1:4" ht="18" x14ac:dyDescent="0.25">
      <c r="A27" s="8">
        <v>1992</v>
      </c>
      <c r="B27" s="6">
        <v>1580.63</v>
      </c>
      <c r="C27" s="7">
        <v>22.8</v>
      </c>
      <c r="D27" s="11">
        <f t="shared" si="0"/>
        <v>35.741279999999996</v>
      </c>
    </row>
    <row r="28" spans="1:4" ht="18" x14ac:dyDescent="0.25">
      <c r="A28" s="8">
        <v>1993</v>
      </c>
      <c r="B28" s="6">
        <v>1605.26</v>
      </c>
      <c r="C28" s="7">
        <v>21.53</v>
      </c>
      <c r="D28" s="11">
        <f t="shared" si="0"/>
        <v>34.296105850000011</v>
      </c>
    </row>
    <row r="29" spans="1:4" ht="18" x14ac:dyDescent="0.25">
      <c r="A29" s="8">
        <v>1994</v>
      </c>
      <c r="B29" s="6">
        <v>1632.7</v>
      </c>
      <c r="C29" s="7">
        <v>20.82</v>
      </c>
      <c r="D29" s="11">
        <f t="shared" si="0"/>
        <v>33.707163600000001</v>
      </c>
    </row>
    <row r="30" spans="1:4" ht="18" x14ac:dyDescent="0.25">
      <c r="A30" s="8">
        <v>1995</v>
      </c>
      <c r="B30" s="6">
        <v>1661.35</v>
      </c>
      <c r="C30" s="7">
        <v>18.899999999999999</v>
      </c>
      <c r="D30" s="11">
        <f t="shared" si="0"/>
        <v>31.1287725</v>
      </c>
    </row>
    <row r="31" spans="1:4" ht="18" x14ac:dyDescent="0.25">
      <c r="A31" s="8">
        <v>1996</v>
      </c>
      <c r="B31" s="6">
        <v>1689.29</v>
      </c>
      <c r="C31" s="7">
        <v>19.45</v>
      </c>
      <c r="D31" s="11">
        <f t="shared" si="0"/>
        <v>32.584973999999995</v>
      </c>
    </row>
    <row r="32" spans="1:4" ht="18" x14ac:dyDescent="0.25">
      <c r="A32" s="8">
        <v>1997</v>
      </c>
      <c r="B32" s="6">
        <v>1718.08</v>
      </c>
      <c r="C32" s="7">
        <v>19.66</v>
      </c>
      <c r="D32" s="11">
        <f t="shared" si="0"/>
        <v>33.494447099999995</v>
      </c>
    </row>
    <row r="33" spans="1:4" ht="18" x14ac:dyDescent="0.25">
      <c r="A33" s="8">
        <v>1998</v>
      </c>
      <c r="B33" s="6">
        <v>1747.35</v>
      </c>
      <c r="C33" s="7">
        <v>19.739999999999998</v>
      </c>
      <c r="D33" s="11">
        <f t="shared" si="0"/>
        <v>34.203794099999996</v>
      </c>
    </row>
    <row r="34" spans="1:4" ht="18" x14ac:dyDescent="0.25">
      <c r="A34" s="8">
        <v>1999</v>
      </c>
      <c r="B34" s="6">
        <v>1775</v>
      </c>
      <c r="C34" s="7">
        <v>18.760000000000002</v>
      </c>
      <c r="D34" s="11">
        <f t="shared" si="0"/>
        <v>33.039643000000005</v>
      </c>
    </row>
    <row r="35" spans="1:4" ht="18" x14ac:dyDescent="0.25">
      <c r="A35" s="8">
        <v>2000</v>
      </c>
      <c r="B35" s="6">
        <v>1849.41</v>
      </c>
      <c r="C35" s="7">
        <v>17.57</v>
      </c>
      <c r="D35" s="11">
        <f t="shared" si="0"/>
        <v>31.840441849999998</v>
      </c>
    </row>
    <row r="36" spans="1:4" ht="18" x14ac:dyDescent="0.25">
      <c r="A36" s="8">
        <v>2001</v>
      </c>
      <c r="B36" s="6">
        <v>1876.19</v>
      </c>
      <c r="C36" s="7">
        <v>16.82</v>
      </c>
      <c r="D36" s="11">
        <f t="shared" si="0"/>
        <v>31.332296000000003</v>
      </c>
    </row>
    <row r="37" spans="1:4" ht="18" x14ac:dyDescent="0.25">
      <c r="A37" s="8">
        <v>2002</v>
      </c>
      <c r="B37" s="6">
        <v>1905.19</v>
      </c>
      <c r="C37" s="7">
        <v>16.3</v>
      </c>
      <c r="D37" s="11">
        <f t="shared" si="0"/>
        <v>30.818247000000003</v>
      </c>
    </row>
    <row r="38" spans="1:4" ht="18" x14ac:dyDescent="0.25">
      <c r="A38" s="8">
        <v>2003</v>
      </c>
      <c r="B38" s="6">
        <v>1933.95</v>
      </c>
      <c r="C38" s="7">
        <v>16.010000000000002</v>
      </c>
      <c r="D38" s="11">
        <f t="shared" si="0"/>
        <v>30.732315700000008</v>
      </c>
    </row>
    <row r="39" spans="1:4" ht="18" x14ac:dyDescent="0.25">
      <c r="A39" s="8">
        <v>2004</v>
      </c>
      <c r="B39" s="6">
        <v>1963.11</v>
      </c>
      <c r="C39" s="9">
        <v>16</v>
      </c>
      <c r="D39" s="11">
        <f t="shared" si="0"/>
        <v>31.176479999999998</v>
      </c>
    </row>
    <row r="40" spans="1:4" ht="18" x14ac:dyDescent="0.25">
      <c r="A40" s="8">
        <v>2005</v>
      </c>
      <c r="B40" s="6">
        <v>2010.35</v>
      </c>
      <c r="C40" s="9">
        <v>16.420000000000002</v>
      </c>
      <c r="D40" s="11">
        <f t="shared" si="0"/>
        <v>32.622106600000002</v>
      </c>
    </row>
    <row r="41" spans="1:4" ht="18" x14ac:dyDescent="0.25">
      <c r="A41" s="8">
        <v>2006</v>
      </c>
      <c r="B41" s="6">
        <v>2050</v>
      </c>
      <c r="C41" s="9">
        <v>15.97</v>
      </c>
      <c r="D41" s="11">
        <f t="shared" si="0"/>
        <v>32.42189475</v>
      </c>
    </row>
    <row r="42" spans="1:4" ht="18" x14ac:dyDescent="0.25">
      <c r="A42" s="8">
        <v>2007</v>
      </c>
      <c r="B42" s="6">
        <v>2095.19</v>
      </c>
      <c r="C42" s="9">
        <v>16.79</v>
      </c>
      <c r="D42" s="11">
        <f t="shared" si="0"/>
        <v>34.798870050000005</v>
      </c>
    </row>
    <row r="43" spans="1:4" ht="18" x14ac:dyDescent="0.25">
      <c r="A43" s="8">
        <v>2008</v>
      </c>
      <c r="B43" s="6">
        <v>2130.81</v>
      </c>
      <c r="C43" s="9">
        <v>16.05</v>
      </c>
      <c r="D43" s="11">
        <f t="shared" si="0"/>
        <v>33.913650000000004</v>
      </c>
    </row>
    <row r="44" spans="1:4" ht="18" x14ac:dyDescent="0.25">
      <c r="A44" s="8">
        <v>2009</v>
      </c>
      <c r="B44" s="6">
        <v>2158.63</v>
      </c>
      <c r="C44" s="9">
        <v>15.99</v>
      </c>
      <c r="D44" s="11">
        <f t="shared" si="0"/>
        <v>34.294072800000002</v>
      </c>
    </row>
    <row r="45" spans="1:4" ht="18" x14ac:dyDescent="0.25">
      <c r="A45" s="8">
        <v>2010</v>
      </c>
      <c r="B45" s="6">
        <v>2181.58</v>
      </c>
      <c r="C45" s="9">
        <v>14.85</v>
      </c>
      <c r="D45" s="11">
        <f t="shared" si="0"/>
        <v>32.226059249999999</v>
      </c>
    </row>
    <row r="46" spans="1:4" ht="18" x14ac:dyDescent="0.25">
      <c r="A46" s="8">
        <v>2011</v>
      </c>
      <c r="B46" s="6">
        <v>2208.71</v>
      </c>
      <c r="C46" s="9">
        <v>14.99</v>
      </c>
      <c r="D46" s="11">
        <f t="shared" si="0"/>
        <v>32.905223550000002</v>
      </c>
    </row>
    <row r="47" spans="1:4" ht="18" x14ac:dyDescent="0.25">
      <c r="A47" s="8">
        <v>2012</v>
      </c>
      <c r="B47" s="6">
        <v>2232.7800000000002</v>
      </c>
      <c r="C47" s="9">
        <v>15.32</v>
      </c>
      <c r="D47" s="11">
        <f t="shared" si="0"/>
        <v>34.021813399999999</v>
      </c>
    </row>
    <row r="48" spans="1:4" ht="18" x14ac:dyDescent="0.25">
      <c r="A48" s="8">
        <v>2013</v>
      </c>
      <c r="B48" s="6">
        <v>2264.3000000000002</v>
      </c>
      <c r="C48" s="9">
        <v>15.84</v>
      </c>
      <c r="D48" s="11">
        <f t="shared" si="0"/>
        <v>35.616873599999998</v>
      </c>
    </row>
    <row r="49" spans="1:4" ht="18" x14ac:dyDescent="0.25">
      <c r="A49" s="8">
        <v>2014</v>
      </c>
      <c r="B49" s="6">
        <v>2298.4699999999998</v>
      </c>
      <c r="C49" s="9">
        <v>16.440000000000001</v>
      </c>
      <c r="D49" s="11">
        <f t="shared" si="0"/>
        <v>37.505969400000012</v>
      </c>
    </row>
    <row r="50" spans="1:4" ht="18" x14ac:dyDescent="0.25">
      <c r="A50" s="8">
        <v>2015</v>
      </c>
      <c r="B50" s="6">
        <v>2359.73</v>
      </c>
      <c r="C50" s="9">
        <v>15.6</v>
      </c>
      <c r="D50" s="11">
        <f t="shared" si="0"/>
        <v>36.333959999999998</v>
      </c>
    </row>
    <row r="51" spans="1:4" ht="18" x14ac:dyDescent="0.25">
      <c r="A51" s="8">
        <v>2016</v>
      </c>
      <c r="B51" s="6">
        <v>2398.08</v>
      </c>
      <c r="C51" s="9">
        <v>15.34</v>
      </c>
      <c r="D51" s="11">
        <f t="shared" si="0"/>
        <v>36.4924027</v>
      </c>
    </row>
    <row r="52" spans="1:4" ht="18" x14ac:dyDescent="0.25">
      <c r="A52" s="8">
        <v>2017</v>
      </c>
      <c r="B52" s="6">
        <v>2444.67</v>
      </c>
      <c r="C52" s="9">
        <v>15.88</v>
      </c>
      <c r="D52" s="11">
        <f t="shared" si="0"/>
        <v>38.451435000000004</v>
      </c>
    </row>
    <row r="53" spans="1:4" ht="18" x14ac:dyDescent="0.25">
      <c r="A53" s="8">
        <v>2018</v>
      </c>
      <c r="B53" s="6">
        <v>2486.7600000000002</v>
      </c>
      <c r="C53" s="9">
        <v>10.69</v>
      </c>
      <c r="D53" s="11">
        <f t="shared" si="0"/>
        <v>26.35849335</v>
      </c>
    </row>
    <row r="54" spans="1:4" ht="18" x14ac:dyDescent="0.25">
      <c r="A54" s="8">
        <v>2019</v>
      </c>
      <c r="B54" s="11">
        <v>2523.2199999999998</v>
      </c>
      <c r="C54" s="9">
        <v>8.14</v>
      </c>
      <c r="D54" s="11">
        <v>20.54</v>
      </c>
    </row>
    <row r="55" spans="1:4" ht="18" x14ac:dyDescent="0.25">
      <c r="A55" s="8">
        <v>2020</v>
      </c>
      <c r="B55" s="6">
        <v>2585.2345</v>
      </c>
      <c r="C55" s="9">
        <v>6.94</v>
      </c>
      <c r="D55" s="11">
        <v>17.872399999999999</v>
      </c>
    </row>
    <row r="56" spans="1:4" ht="18" x14ac:dyDescent="0.25">
      <c r="A56" s="8">
        <v>2021</v>
      </c>
      <c r="B56" s="11">
        <v>2589</v>
      </c>
      <c r="C56" s="3">
        <v>6.16</v>
      </c>
      <c r="D56" s="11">
        <v>16</v>
      </c>
    </row>
    <row r="57" spans="1:4" ht="18" x14ac:dyDescent="0.25">
      <c r="A57" s="8">
        <v>2022</v>
      </c>
      <c r="B57" s="11">
        <v>2587</v>
      </c>
      <c r="C57" s="9">
        <v>6.53</v>
      </c>
      <c r="D57" s="11">
        <v>16.899999999999999</v>
      </c>
    </row>
    <row r="58" spans="1:4" ht="18" x14ac:dyDescent="0.25">
      <c r="A58" s="8">
        <v>2023</v>
      </c>
      <c r="B58" s="11">
        <v>2598</v>
      </c>
      <c r="C58" s="9">
        <v>7.1</v>
      </c>
      <c r="D58" s="11">
        <f>(B57+B58)/2*C58/1000</f>
        <v>18.406749999999999</v>
      </c>
    </row>
    <row r="59" spans="1:4" ht="18" x14ac:dyDescent="0.25">
      <c r="A59" s="8">
        <v>2024</v>
      </c>
      <c r="B59" s="11">
        <v>2622.8</v>
      </c>
      <c r="C59" s="9">
        <v>9.42</v>
      </c>
      <c r="D59" s="11">
        <v>24.6</v>
      </c>
    </row>
    <row r="60" spans="1:4" ht="18" x14ac:dyDescent="0.25">
      <c r="A60" s="8">
        <v>2025</v>
      </c>
      <c r="B60" s="12">
        <v>2939</v>
      </c>
      <c r="C60" s="9">
        <v>8.9700000000000006</v>
      </c>
      <c r="D60" s="11">
        <v>23.6</v>
      </c>
    </row>
    <row r="61" spans="1:4" ht="18" x14ac:dyDescent="0.35">
      <c r="A61" s="1"/>
      <c r="B61" s="2"/>
      <c r="C61" s="2"/>
      <c r="D61" s="2"/>
    </row>
    <row r="62" spans="1:4" ht="72.599999999999994" customHeight="1" x14ac:dyDescent="0.25">
      <c r="A62" s="10" t="s">
        <v>5</v>
      </c>
      <c r="B62" s="4"/>
      <c r="C62" s="4"/>
      <c r="D62" s="4"/>
    </row>
    <row r="63" spans="1:4" ht="81" customHeight="1" x14ac:dyDescent="0.25">
      <c r="A63" s="4" t="s">
        <v>6</v>
      </c>
      <c r="B63" s="4"/>
      <c r="C63" s="4"/>
      <c r="D63" s="4"/>
    </row>
    <row r="64" spans="1:4" ht="33" customHeight="1" x14ac:dyDescent="0.25">
      <c r="A64" s="4" t="s">
        <v>4</v>
      </c>
      <c r="B64" s="4"/>
      <c r="C64" s="4"/>
      <c r="D64" s="4"/>
    </row>
  </sheetData>
  <mergeCells count="3">
    <mergeCell ref="A62:D62"/>
    <mergeCell ref="A63:D63"/>
    <mergeCell ref="A64:D6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2026-09-29T08:01:15Z</dcterms:modified>
</cp:coreProperties>
</file>