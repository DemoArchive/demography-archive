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四川省\"/>
    </mc:Choice>
  </mc:AlternateContent>
  <xr:revisionPtr revIDLastSave="0" documentId="13_ncr:1_{33AEC272-C3FE-4C56-9E39-3E27EEE9E4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9" i="1"/>
</calcChain>
</file>

<file path=xl/sharedStrings.xml><?xml version="1.0" encoding="utf-8"?>
<sst xmlns="http://schemas.openxmlformats.org/spreadsheetml/2006/main" count="7" uniqueCount="7">
  <si>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</si>
  <si>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</si>
  <si>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</si>
  <si>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</si>
  <si>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0"/>
        <color theme="1"/>
        <rFont val="楷体"/>
        <family val="3"/>
        <charset val="134"/>
      </rPr>
      <t>注：</t>
    </r>
    <r>
      <rPr>
        <sz val="10"/>
        <color theme="1"/>
        <rFont val="Times New Roman"/>
        <family val="1"/>
      </rPr>
      <t>1.2000</t>
    </r>
    <r>
      <rPr>
        <sz val="10"/>
        <color theme="1"/>
        <rFont val="楷体"/>
        <family val="3"/>
        <charset val="134"/>
      </rPr>
      <t>年、</t>
    </r>
    <r>
      <rPr>
        <sz val="10"/>
        <color theme="1"/>
        <rFont val="Times New Roman"/>
        <family val="1"/>
      </rPr>
      <t>2010</t>
    </r>
    <r>
      <rPr>
        <sz val="10"/>
        <color theme="1"/>
        <rFont val="楷体"/>
        <family val="3"/>
        <charset val="134"/>
      </rPr>
      <t>年、</t>
    </r>
    <r>
      <rPr>
        <sz val="10"/>
        <color theme="1"/>
        <rFont val="Times New Roman"/>
        <family val="1"/>
      </rPr>
      <t>2020</t>
    </r>
    <r>
      <rPr>
        <sz val="10"/>
        <color theme="1"/>
        <rFont val="楷体"/>
        <family val="3"/>
        <charset val="134"/>
      </rPr>
      <t>年为当年人口普查数据推算数，其余年份(2000年以后)是依据年度人口变动调查并结合人口普查推算的修订数。</t>
    </r>
    <r>
      <rPr>
        <sz val="10"/>
        <color theme="1"/>
        <rFont val="Times New Roman"/>
        <family val="1"/>
      </rPr>
      <t>2.</t>
    </r>
    <r>
      <rPr>
        <sz val="10"/>
        <color theme="1"/>
        <rFont val="楷体"/>
        <family val="3"/>
        <charset val="134"/>
      </rPr>
      <t>本表中出生率、死亡率和自然增长率在</t>
    </r>
    <r>
      <rPr>
        <sz val="10"/>
        <color theme="1"/>
        <rFont val="Times New Roman"/>
        <family val="1"/>
      </rPr>
      <t>1981</t>
    </r>
    <r>
      <rPr>
        <sz val="10"/>
        <color theme="1"/>
        <rFont val="楷体"/>
        <family val="3"/>
        <charset val="134"/>
      </rPr>
      <t>年及以前均根据公安年报计算，</t>
    </r>
    <r>
      <rPr>
        <sz val="10"/>
        <color theme="1"/>
        <rFont val="Times New Roman"/>
        <family val="1"/>
      </rPr>
      <t>1982</t>
    </r>
    <r>
      <rPr>
        <sz val="10"/>
        <color theme="1"/>
        <rFont val="楷体"/>
        <family val="3"/>
        <charset val="134"/>
      </rPr>
      <t>年以后按人口变动抽样调查计算。</t>
    </r>
    <phoneticPr fontId="3" type="noConversion"/>
  </si>
  <si>
    <r>
      <rPr>
        <b/>
        <sz val="12"/>
        <color theme="1"/>
        <rFont val="楷体"/>
        <family val="3"/>
        <charset val="134"/>
      </rPr>
      <t>出生人口计算公式：出生人口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（上年总人口数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当年总人口数）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</si>
  <si>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2024~2000</t>
    </r>
    <r>
      <rPr>
        <b/>
        <sz val="12"/>
        <color theme="1"/>
        <rFont val="楷体"/>
        <family val="3"/>
        <charset val="134"/>
      </rPr>
      <t>年数据来源于《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年四川省统计年鉴》</t>
    </r>
    <r>
      <rPr>
        <b/>
        <sz val="12"/>
        <color theme="1"/>
        <rFont val="Times New Roman"/>
        <family val="1"/>
      </rPr>
      <t>,“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通过公式计算得出。</t>
    </r>
    <r>
      <rPr>
        <b/>
        <sz val="12"/>
        <color theme="1"/>
        <rFont val="Times New Roman"/>
        <family val="1"/>
      </rPr>
      <t>2000</t>
    </r>
    <r>
      <rPr>
        <b/>
        <sz val="12"/>
        <color theme="1"/>
        <rFont val="楷体"/>
        <family val="3"/>
        <charset val="134"/>
      </rPr>
      <t>年以前数据来源于《</t>
    </r>
    <r>
      <rPr>
        <b/>
        <sz val="12"/>
        <color theme="1"/>
        <rFont val="Times New Roman"/>
        <family val="1"/>
      </rPr>
      <t>2002</t>
    </r>
    <r>
      <rPr>
        <b/>
        <sz val="12"/>
        <color theme="1"/>
        <rFont val="楷体"/>
        <family val="3"/>
        <charset val="134"/>
      </rPr>
      <t>年四川省统计年鉴》</t>
    </r>
    <r>
      <rPr>
        <b/>
        <sz val="12"/>
        <color theme="1"/>
        <rFont val="Times New Roman"/>
        <family val="1"/>
      </rPr>
      <t>,</t>
    </r>
    <r>
      <rPr>
        <b/>
        <sz val="12"/>
        <color theme="1"/>
        <rFont val="楷体"/>
        <family val="3"/>
        <charset val="134"/>
      </rPr>
      <t>其中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年末总人口（数据按户籍人口统计）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通过公式计算得出。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年数据来源于《四川省国民经济和社会发展统计公报》，其中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</si>
</sst>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4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楷体"/>
      <family val="3"/>
      <charset val="134"/>
    </font>
    <font>
      <sz val="10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8" fillId="0" borderId="1" xfId="0" applyNumberFormat="1" applyFont="1" applyBorder="1" applyAlignment="1">
      <alignment horizontal="right" vertical="center" wrapText="1"/>
    </xf>
    <xf numFmtId="176" fontId="8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</cellXfs>
  <cellStyles count="2">
    <cellStyle name="常规" xfId="0" builtinId="0"/>
    <cellStyle name="常规 2" xfId="1" xr:uid="{88FB4D96-6E9A-459D-93E7-1E820CEC0E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52" workbookViewId="0">
      <selection activeCell="A59" sqref="A58:D59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2" t="s">
        <v>0</v>
      </c>
      <c r="B1" s="2" t="s">
        <v>2</v>
      </c>
      <c r="C1" s="2" t="s">
        <v>1</v>
      </c>
      <c r="D1" s="6" t="s">
        <v>3</v>
      </c>
    </row>
    <row r="2" spans="1:4" ht="18" x14ac:dyDescent="0.25">
      <c r="A2" s="2">
        <v>1952</v>
      </c>
      <c r="B2" s="2">
        <v>4628.5</v>
      </c>
      <c r="C2" s="2">
        <v>41.4</v>
      </c>
      <c r="D2" s="6"/>
    </row>
    <row r="3" spans="1:4" ht="18" x14ac:dyDescent="0.25">
      <c r="A3" s="2">
        <v>1957</v>
      </c>
      <c r="B3" s="2">
        <v>5088.8</v>
      </c>
      <c r="C3" s="2">
        <v>29.2</v>
      </c>
      <c r="D3" s="6"/>
    </row>
    <row r="4" spans="1:4" ht="18" x14ac:dyDescent="0.25">
      <c r="A4" s="2">
        <v>1962</v>
      </c>
      <c r="B4" s="2">
        <v>4688.3</v>
      </c>
      <c r="C4" s="2">
        <v>28</v>
      </c>
      <c r="D4" s="6"/>
    </row>
    <row r="5" spans="1:4" ht="18" x14ac:dyDescent="0.25">
      <c r="A5" s="2">
        <v>1965</v>
      </c>
      <c r="B5" s="2">
        <v>5162.1000000000004</v>
      </c>
      <c r="C5" s="2">
        <v>42.4</v>
      </c>
      <c r="D5" s="6"/>
    </row>
    <row r="6" spans="1:4" ht="18" x14ac:dyDescent="0.25">
      <c r="A6" s="2">
        <v>1970</v>
      </c>
      <c r="B6" s="2">
        <v>6052.4</v>
      </c>
      <c r="C6" s="2">
        <v>38.700000000000003</v>
      </c>
      <c r="D6" s="6"/>
    </row>
    <row r="7" spans="1:4" ht="18" x14ac:dyDescent="0.25">
      <c r="A7" s="2">
        <v>1975</v>
      </c>
      <c r="B7" s="2">
        <v>6874.7</v>
      </c>
      <c r="C7" s="2">
        <v>31.2</v>
      </c>
      <c r="D7" s="6"/>
    </row>
    <row r="8" spans="1:4" ht="18" x14ac:dyDescent="0.25">
      <c r="A8" s="7">
        <v>1978</v>
      </c>
      <c r="B8" s="2">
        <v>7071.9</v>
      </c>
      <c r="C8" s="2">
        <v>15.1</v>
      </c>
      <c r="D8" s="6"/>
    </row>
    <row r="9" spans="1:4" ht="18" x14ac:dyDescent="0.25">
      <c r="A9" s="7">
        <v>1979</v>
      </c>
      <c r="B9" s="2">
        <v>7120.5</v>
      </c>
      <c r="C9" s="2">
        <v>15.2</v>
      </c>
      <c r="D9" s="6">
        <f>(B8+B9)/2*C9/1000</f>
        <v>107.86223999999999</v>
      </c>
    </row>
    <row r="10" spans="1:4" ht="18" x14ac:dyDescent="0.25">
      <c r="A10" s="7">
        <v>1980</v>
      </c>
      <c r="B10" s="2">
        <v>7154.8</v>
      </c>
      <c r="C10" s="2">
        <v>13</v>
      </c>
      <c r="D10" s="6">
        <f t="shared" ref="D10:D54" si="0">(B9+B10)/2*C10/1000</f>
        <v>92.789450000000002</v>
      </c>
    </row>
    <row r="11" spans="1:4" ht="18" x14ac:dyDescent="0.25">
      <c r="A11" s="7">
        <v>1981</v>
      </c>
      <c r="B11" s="2">
        <v>7215.6</v>
      </c>
      <c r="C11" s="2">
        <v>18</v>
      </c>
      <c r="D11" s="6">
        <f t="shared" si="0"/>
        <v>129.33360000000002</v>
      </c>
    </row>
    <row r="12" spans="1:4" ht="18" x14ac:dyDescent="0.25">
      <c r="A12" s="7">
        <v>1982</v>
      </c>
      <c r="B12" s="2">
        <v>7300.4</v>
      </c>
      <c r="C12" s="2">
        <v>15.8</v>
      </c>
      <c r="D12" s="6">
        <f t="shared" si="0"/>
        <v>114.67640000000002</v>
      </c>
    </row>
    <row r="13" spans="1:4" ht="18" x14ac:dyDescent="0.25">
      <c r="A13" s="7">
        <v>1983</v>
      </c>
      <c r="B13" s="2">
        <v>7336.9</v>
      </c>
      <c r="C13" s="2">
        <v>13.1</v>
      </c>
      <c r="D13" s="6">
        <f t="shared" si="0"/>
        <v>95.874314999999982</v>
      </c>
    </row>
    <row r="14" spans="1:4" ht="18" x14ac:dyDescent="0.25">
      <c r="A14" s="7">
        <v>1984</v>
      </c>
      <c r="B14" s="2">
        <v>7364</v>
      </c>
      <c r="C14" s="2">
        <v>10.8</v>
      </c>
      <c r="D14" s="6">
        <f t="shared" si="0"/>
        <v>79.384860000000003</v>
      </c>
    </row>
    <row r="15" spans="1:4" ht="18" x14ac:dyDescent="0.25">
      <c r="A15" s="7">
        <v>1985</v>
      </c>
      <c r="B15" s="2">
        <v>7419.3</v>
      </c>
      <c r="C15" s="2">
        <v>15.4</v>
      </c>
      <c r="D15" s="6">
        <f t="shared" si="0"/>
        <v>113.83141000000001</v>
      </c>
    </row>
    <row r="16" spans="1:4" ht="18" x14ac:dyDescent="0.25">
      <c r="A16" s="7">
        <v>1986</v>
      </c>
      <c r="B16" s="2">
        <v>7511.9</v>
      </c>
      <c r="C16" s="2">
        <v>20.5</v>
      </c>
      <c r="D16" s="6">
        <f t="shared" si="0"/>
        <v>153.04480000000001</v>
      </c>
    </row>
    <row r="17" spans="1:4" ht="18" x14ac:dyDescent="0.25">
      <c r="A17" s="7">
        <v>1987</v>
      </c>
      <c r="B17" s="2">
        <v>7613.2</v>
      </c>
      <c r="C17" s="2">
        <v>17.899999999999999</v>
      </c>
      <c r="D17" s="6">
        <f t="shared" si="0"/>
        <v>135.36964499999999</v>
      </c>
    </row>
    <row r="18" spans="1:4" ht="18" x14ac:dyDescent="0.25">
      <c r="A18" s="7">
        <v>1988</v>
      </c>
      <c r="B18" s="2">
        <v>7716.4</v>
      </c>
      <c r="C18" s="2">
        <v>18.3</v>
      </c>
      <c r="D18" s="6">
        <f t="shared" si="0"/>
        <v>140.26584</v>
      </c>
    </row>
    <row r="19" spans="1:4" ht="18" x14ac:dyDescent="0.25">
      <c r="A19" s="7">
        <v>1989</v>
      </c>
      <c r="B19" s="2">
        <v>7803.2</v>
      </c>
      <c r="C19" s="2">
        <v>19.100000000000001</v>
      </c>
      <c r="D19" s="6">
        <f t="shared" si="0"/>
        <v>148.21217999999999</v>
      </c>
    </row>
    <row r="20" spans="1:4" ht="18" x14ac:dyDescent="0.25">
      <c r="A20" s="7">
        <v>1990</v>
      </c>
      <c r="B20" s="2">
        <v>7892.5</v>
      </c>
      <c r="C20" s="2">
        <v>19.100000000000001</v>
      </c>
      <c r="D20" s="6">
        <f t="shared" si="0"/>
        <v>149.89393500000003</v>
      </c>
    </row>
    <row r="21" spans="1:4" ht="18" x14ac:dyDescent="0.25">
      <c r="A21" s="7">
        <v>1991</v>
      </c>
      <c r="B21" s="2">
        <v>7947.8</v>
      </c>
      <c r="C21" s="2">
        <v>15.8</v>
      </c>
      <c r="D21" s="6">
        <f t="shared" si="0"/>
        <v>125.13836999999999</v>
      </c>
    </row>
    <row r="22" spans="1:4" ht="18" x14ac:dyDescent="0.25">
      <c r="A22" s="7">
        <v>1992</v>
      </c>
      <c r="B22" s="2">
        <v>7992.2</v>
      </c>
      <c r="C22" s="2">
        <v>16.3</v>
      </c>
      <c r="D22" s="6">
        <f t="shared" si="0"/>
        <v>129.911</v>
      </c>
    </row>
    <row r="23" spans="1:4" ht="18" x14ac:dyDescent="0.25">
      <c r="A23" s="7">
        <v>1993</v>
      </c>
      <c r="B23" s="2">
        <v>8037.4</v>
      </c>
      <c r="C23" s="2">
        <v>16.8</v>
      </c>
      <c r="D23" s="6">
        <f t="shared" si="0"/>
        <v>134.64863999999997</v>
      </c>
    </row>
    <row r="24" spans="1:4" ht="18" x14ac:dyDescent="0.25">
      <c r="A24" s="7">
        <v>1994</v>
      </c>
      <c r="B24" s="2">
        <v>8098.7</v>
      </c>
      <c r="C24" s="2">
        <v>16.899999999999999</v>
      </c>
      <c r="D24" s="6">
        <f t="shared" si="0"/>
        <v>136.35004499999999</v>
      </c>
    </row>
    <row r="25" spans="1:4" ht="18" x14ac:dyDescent="0.25">
      <c r="A25" s="7">
        <v>1995</v>
      </c>
      <c r="B25" s="2">
        <v>8161.2</v>
      </c>
      <c r="C25" s="2">
        <v>17.100000000000001</v>
      </c>
      <c r="D25" s="6">
        <f t="shared" si="0"/>
        <v>139.02214500000002</v>
      </c>
    </row>
    <row r="26" spans="1:4" ht="18" x14ac:dyDescent="0.25">
      <c r="A26" s="7">
        <v>1996</v>
      </c>
      <c r="B26" s="2">
        <v>8215.4</v>
      </c>
      <c r="C26" s="2">
        <v>16.600000000000001</v>
      </c>
      <c r="D26" s="6">
        <f t="shared" si="0"/>
        <v>135.92578</v>
      </c>
    </row>
    <row r="27" spans="1:4" ht="18" x14ac:dyDescent="0.25">
      <c r="A27" s="7">
        <v>1997</v>
      </c>
      <c r="B27" s="2">
        <v>8264.7000000000007</v>
      </c>
      <c r="C27" s="2">
        <v>15.7</v>
      </c>
      <c r="D27" s="6">
        <f t="shared" si="0"/>
        <v>129.368785</v>
      </c>
    </row>
    <row r="28" spans="1:4" ht="18" x14ac:dyDescent="0.25">
      <c r="A28" s="7">
        <v>1998</v>
      </c>
      <c r="B28" s="2">
        <v>8315.7000000000007</v>
      </c>
      <c r="C28" s="2">
        <v>14.6</v>
      </c>
      <c r="D28" s="6">
        <f t="shared" si="0"/>
        <v>121.03692000000001</v>
      </c>
    </row>
    <row r="29" spans="1:4" ht="18" x14ac:dyDescent="0.25">
      <c r="A29" s="7">
        <v>1999</v>
      </c>
      <c r="B29" s="2">
        <v>8358.6</v>
      </c>
      <c r="C29" s="2">
        <v>13.8</v>
      </c>
      <c r="D29" s="6">
        <f t="shared" si="0"/>
        <v>115.05267000000002</v>
      </c>
    </row>
    <row r="30" spans="1:4" ht="18" x14ac:dyDescent="0.25">
      <c r="A30" s="7">
        <v>2000</v>
      </c>
      <c r="B30" s="8">
        <v>8234.7999999999993</v>
      </c>
      <c r="C30" s="8">
        <v>12.1</v>
      </c>
      <c r="D30" s="6">
        <f t="shared" si="0"/>
        <v>100.39007000000001</v>
      </c>
    </row>
    <row r="31" spans="1:4" ht="18" x14ac:dyDescent="0.25">
      <c r="A31" s="7">
        <v>2001</v>
      </c>
      <c r="B31" s="8">
        <v>8143</v>
      </c>
      <c r="C31" s="8">
        <v>11.2</v>
      </c>
      <c r="D31" s="6">
        <f t="shared" si="0"/>
        <v>91.715679999999992</v>
      </c>
    </row>
    <row r="32" spans="1:4" ht="18" x14ac:dyDescent="0.25">
      <c r="A32" s="7">
        <v>2002</v>
      </c>
      <c r="B32" s="8">
        <v>8110</v>
      </c>
      <c r="C32" s="8">
        <v>10.4</v>
      </c>
      <c r="D32" s="6">
        <f t="shared" si="0"/>
        <v>84.515600000000006</v>
      </c>
    </row>
    <row r="33" spans="1:4" ht="18" x14ac:dyDescent="0.25">
      <c r="A33" s="7">
        <v>2003</v>
      </c>
      <c r="B33" s="8">
        <v>8176</v>
      </c>
      <c r="C33" s="8">
        <v>9.1999999999999993</v>
      </c>
      <c r="D33" s="6">
        <f t="shared" si="0"/>
        <v>74.915599999999998</v>
      </c>
    </row>
    <row r="34" spans="1:4" ht="18" x14ac:dyDescent="0.25">
      <c r="A34" s="7">
        <v>2004</v>
      </c>
      <c r="B34" s="8">
        <v>8090</v>
      </c>
      <c r="C34" s="8">
        <v>9.1</v>
      </c>
      <c r="D34" s="6">
        <f t="shared" si="0"/>
        <v>74.010300000000001</v>
      </c>
    </row>
    <row r="35" spans="1:4" ht="18" x14ac:dyDescent="0.25">
      <c r="A35" s="7">
        <v>2005</v>
      </c>
      <c r="B35" s="8">
        <v>8212</v>
      </c>
      <c r="C35" s="8">
        <v>9.6999999999999993</v>
      </c>
      <c r="D35" s="6">
        <f t="shared" si="0"/>
        <v>79.064700000000002</v>
      </c>
    </row>
    <row r="36" spans="1:4" ht="18" x14ac:dyDescent="0.25">
      <c r="A36" s="7">
        <v>2006</v>
      </c>
      <c r="B36" s="8">
        <v>8169</v>
      </c>
      <c r="C36" s="8">
        <v>9.1999999999999993</v>
      </c>
      <c r="D36" s="6">
        <f t="shared" si="0"/>
        <v>75.352599999999995</v>
      </c>
    </row>
    <row r="37" spans="1:4" ht="18" x14ac:dyDescent="0.25">
      <c r="A37" s="7">
        <v>2007</v>
      </c>
      <c r="B37" s="8">
        <v>8127</v>
      </c>
      <c r="C37" s="8">
        <v>9.1999999999999993</v>
      </c>
      <c r="D37" s="6">
        <f t="shared" si="0"/>
        <v>74.96159999999999</v>
      </c>
    </row>
    <row r="38" spans="1:4" ht="18" x14ac:dyDescent="0.25">
      <c r="A38" s="7">
        <v>2008</v>
      </c>
      <c r="B38" s="8">
        <v>8138</v>
      </c>
      <c r="C38" s="8">
        <v>9.5</v>
      </c>
      <c r="D38" s="6">
        <f t="shared" si="0"/>
        <v>77.258750000000006</v>
      </c>
    </row>
    <row r="39" spans="1:4" ht="18" x14ac:dyDescent="0.25">
      <c r="A39" s="7">
        <v>2009</v>
      </c>
      <c r="B39" s="8">
        <v>8185</v>
      </c>
      <c r="C39" s="8">
        <v>9.1</v>
      </c>
      <c r="D39" s="6">
        <f t="shared" si="0"/>
        <v>74.269649999999999</v>
      </c>
    </row>
    <row r="40" spans="1:4" ht="18" x14ac:dyDescent="0.25">
      <c r="A40" s="7">
        <v>2010</v>
      </c>
      <c r="B40" s="8">
        <v>8045</v>
      </c>
      <c r="C40" s="8">
        <v>8.9</v>
      </c>
      <c r="D40" s="6">
        <f t="shared" si="0"/>
        <v>72.223500000000001</v>
      </c>
    </row>
    <row r="41" spans="1:4" ht="18" x14ac:dyDescent="0.25">
      <c r="A41" s="7">
        <v>2011</v>
      </c>
      <c r="B41" s="8">
        <v>8064</v>
      </c>
      <c r="C41" s="8">
        <v>9.8000000000000007</v>
      </c>
      <c r="D41" s="6">
        <f t="shared" si="0"/>
        <v>78.934100000000001</v>
      </c>
    </row>
    <row r="42" spans="1:4" ht="18" x14ac:dyDescent="0.25">
      <c r="A42" s="7">
        <v>2012</v>
      </c>
      <c r="B42" s="8">
        <v>8085</v>
      </c>
      <c r="C42" s="8">
        <v>9.9</v>
      </c>
      <c r="D42" s="6">
        <f t="shared" si="0"/>
        <v>79.937550000000002</v>
      </c>
    </row>
    <row r="43" spans="1:4" ht="18" x14ac:dyDescent="0.25">
      <c r="A43" s="7">
        <v>2013</v>
      </c>
      <c r="B43" s="8">
        <v>8109</v>
      </c>
      <c r="C43" s="8">
        <v>9.9</v>
      </c>
      <c r="D43" s="6">
        <f t="shared" si="0"/>
        <v>80.160300000000007</v>
      </c>
    </row>
    <row r="44" spans="1:4" ht="18" x14ac:dyDescent="0.25">
      <c r="A44" s="7">
        <v>2014</v>
      </c>
      <c r="B44" s="8">
        <v>8139</v>
      </c>
      <c r="C44" s="8">
        <v>10.199999999999999</v>
      </c>
      <c r="D44" s="6">
        <f t="shared" si="0"/>
        <v>82.864799999999988</v>
      </c>
    </row>
    <row r="45" spans="1:4" ht="18" x14ac:dyDescent="0.25">
      <c r="A45" s="7">
        <v>2015</v>
      </c>
      <c r="B45" s="8">
        <v>8196</v>
      </c>
      <c r="C45" s="8">
        <v>10.3</v>
      </c>
      <c r="D45" s="6">
        <f t="shared" si="0"/>
        <v>84.125249999999994</v>
      </c>
    </row>
    <row r="46" spans="1:4" ht="18" x14ac:dyDescent="0.25">
      <c r="A46" s="7">
        <v>2016</v>
      </c>
      <c r="B46" s="8">
        <v>8251</v>
      </c>
      <c r="C46" s="8">
        <v>10.5</v>
      </c>
      <c r="D46" s="6">
        <f t="shared" si="0"/>
        <v>86.34675</v>
      </c>
    </row>
    <row r="47" spans="1:4" ht="18" x14ac:dyDescent="0.25">
      <c r="A47" s="7">
        <v>2017</v>
      </c>
      <c r="B47" s="8">
        <v>8289</v>
      </c>
      <c r="C47" s="8">
        <v>11.3</v>
      </c>
      <c r="D47" s="6">
        <f t="shared" si="0"/>
        <v>93.450999999999993</v>
      </c>
    </row>
    <row r="48" spans="1:4" ht="18" x14ac:dyDescent="0.25">
      <c r="A48" s="7">
        <v>2018</v>
      </c>
      <c r="B48" s="8">
        <v>8321</v>
      </c>
      <c r="C48" s="8">
        <v>11.1</v>
      </c>
      <c r="D48" s="6">
        <f t="shared" si="0"/>
        <v>92.185500000000005</v>
      </c>
    </row>
    <row r="49" spans="1:4" ht="18" x14ac:dyDescent="0.25">
      <c r="A49" s="7">
        <v>2019</v>
      </c>
      <c r="B49" s="8">
        <v>8351</v>
      </c>
      <c r="C49" s="8">
        <v>10.7</v>
      </c>
      <c r="D49" s="6">
        <f t="shared" si="0"/>
        <v>89.1952</v>
      </c>
    </row>
    <row r="50" spans="1:4" ht="18" x14ac:dyDescent="0.25">
      <c r="A50" s="9">
        <v>2020</v>
      </c>
      <c r="B50" s="8">
        <v>8371</v>
      </c>
      <c r="C50" s="8">
        <v>7.6</v>
      </c>
      <c r="D50" s="6">
        <f t="shared" si="0"/>
        <v>63.543599999999998</v>
      </c>
    </row>
    <row r="51" spans="1:4" ht="18" x14ac:dyDescent="0.25">
      <c r="A51" s="9">
        <v>2021</v>
      </c>
      <c r="B51" s="8">
        <v>8372</v>
      </c>
      <c r="C51" s="8">
        <v>6.85</v>
      </c>
      <c r="D51" s="6">
        <f t="shared" si="0"/>
        <v>57.344774999999991</v>
      </c>
    </row>
    <row r="52" spans="1:4" ht="18" x14ac:dyDescent="0.25">
      <c r="A52" s="9">
        <v>2022</v>
      </c>
      <c r="B52" s="8">
        <v>8374</v>
      </c>
      <c r="C52" s="8">
        <v>6.39</v>
      </c>
      <c r="D52" s="6">
        <f t="shared" si="0"/>
        <v>53.503469999999993</v>
      </c>
    </row>
    <row r="53" spans="1:4" ht="18" x14ac:dyDescent="0.25">
      <c r="A53" s="9">
        <v>2023</v>
      </c>
      <c r="B53" s="8">
        <v>8368</v>
      </c>
      <c r="C53" s="8">
        <v>6.32</v>
      </c>
      <c r="D53" s="6">
        <f t="shared" si="0"/>
        <v>52.904720000000005</v>
      </c>
    </row>
    <row r="54" spans="1:4" ht="18" x14ac:dyDescent="0.25">
      <c r="A54" s="9">
        <v>2024</v>
      </c>
      <c r="B54" s="8">
        <v>8364</v>
      </c>
      <c r="C54" s="8">
        <v>6.41</v>
      </c>
      <c r="D54" s="6">
        <f t="shared" si="0"/>
        <v>53.626059999999995</v>
      </c>
    </row>
    <row r="55" spans="1:4" ht="18" x14ac:dyDescent="0.25">
      <c r="A55" s="9">
        <v>2025</v>
      </c>
      <c r="B55" s="2">
        <v>8318</v>
      </c>
      <c r="C55" s="8">
        <v>5.2</v>
      </c>
      <c r="D55" s="2">
        <v>43.4</v>
      </c>
    </row>
    <row r="56" spans="1:4" ht="58.2" customHeight="1" x14ac:dyDescent="0.25">
      <c r="A56" s="3" t="s">
        <v>4</v>
      </c>
      <c r="B56" s="4"/>
      <c r="C56" s="4"/>
      <c r="D56" s="4"/>
    </row>
    <row r="57" spans="1:4" ht="18" x14ac:dyDescent="0.35">
      <c r="A57" s="1"/>
      <c r="B57" s="1"/>
      <c r="C57" s="1"/>
      <c r="D57" s="1"/>
    </row>
    <row r="58" spans="1:4" ht="139.19999999999999" customHeight="1" x14ac:dyDescent="0.25">
      <c r="A58" s="5" t="s">
        <v>6</v>
      </c>
      <c r="B58" s="5"/>
      <c r="C58" s="5"/>
      <c r="D58" s="5"/>
    </row>
    <row r="59" spans="1:4" ht="45" customHeight="1" x14ac:dyDescent="0.25">
      <c r="A59" s="5" t="s">
        <v>5</v>
      </c>
      <c r="B59" s="5"/>
      <c r="C59" s="5"/>
      <c r="D59" s="5"/>
    </row>
  </sheetData>
  <mergeCells count="3">
    <mergeCell ref="A56:D56"/>
    <mergeCell ref="A58:D58"/>
    <mergeCell ref="A59:D5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2026-09-29T07:46:57Z</dcterms:modified>
</cp:coreProperties>
</file>