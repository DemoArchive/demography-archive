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海南省\"/>
    </mc:Choice>
  </mc:AlternateContent>
  <xr:revisionPtr revIDLastSave="0" documentId="13_ncr:1_{A2AF2919-3B1B-4044-9B76-757E42941D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13" i="1"/>
</calcChain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<sst xmlns="http://schemas.openxmlformats.org/spreadsheetml/2006/main" count="6" uniqueCount="6">
  <si>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</si>
  <si>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</si>
  <si>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b/>
        <sz val="12"/>
        <color theme="1"/>
        <rFont val="楷体"/>
        <family val="3"/>
        <charset val="134"/>
      </rPr>
      <t>出生人口计算方式：出生人口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3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</si>
  <si>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</si>
  <si>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</si>
  <si>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宋体"/>
        <family val="1"/>
        <charset val="134"/>
      </rPr>
      <t>表格中</t>
    </r>
    <r>
      <rPr>
        <b/>
        <sz val="12"/>
        <color theme="1"/>
        <rFont val="Times New Roman"/>
        <family val="1"/>
      </rPr>
      <t>2024~2001</t>
    </r>
    <r>
      <rPr>
        <b/>
        <sz val="12"/>
        <color theme="1"/>
        <rFont val="宋体"/>
        <family val="1"/>
        <charset val="134"/>
      </rPr>
      <t>年“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数据来源于各年《海南省统计年鉴》中的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；</t>
    </r>
    <r>
      <rPr>
        <b/>
        <sz val="12"/>
        <color theme="1"/>
        <rFont val="Times New Roman"/>
        <family val="1"/>
      </rPr>
      <t>2001</t>
    </r>
    <r>
      <rPr>
        <b/>
        <sz val="12"/>
        <color theme="1"/>
        <rFont val="楷体"/>
        <family val="3"/>
        <charset val="134"/>
      </rPr>
      <t>年之前缺乏常住人口数据，因此采用《</t>
    </r>
    <r>
      <rPr>
        <b/>
        <sz val="12"/>
        <color theme="1"/>
        <rFont val="Times New Roman"/>
        <family val="1"/>
      </rPr>
      <t>2001</t>
    </r>
    <r>
      <rPr>
        <b/>
        <sz val="12"/>
        <color theme="1"/>
        <rFont val="楷体"/>
        <family val="3"/>
        <charset val="134"/>
      </rPr>
      <t>年海南省统计年鉴》中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Times New Roman"/>
        <family val="1"/>
      </rPr>
      <t xml:space="preserve">2-4 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，其中</t>
    </r>
    <r>
      <rPr>
        <b/>
        <sz val="12"/>
        <color theme="1"/>
        <rFont val="Times New Roman"/>
        <family val="1"/>
      </rPr>
      <t>1997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1991</t>
    </r>
    <r>
      <rPr>
        <b/>
        <sz val="12"/>
        <color theme="1"/>
        <rFont val="楷体"/>
        <family val="3"/>
        <charset val="134"/>
      </rPr>
      <t>、</t>
    </r>
    <r>
      <rPr>
        <b/>
        <sz val="12"/>
        <color theme="1"/>
        <rFont val="Times New Roman"/>
        <family val="1"/>
      </rPr>
      <t>1988</t>
    </r>
    <r>
      <rPr>
        <b/>
        <sz val="12"/>
        <color theme="1"/>
        <rFont val="楷体"/>
        <family val="3"/>
        <charset val="134"/>
      </rPr>
      <t>年数据缺失。</t>
    </r>
    <r>
      <rPr>
        <b/>
        <sz val="12"/>
        <color theme="1"/>
        <rFont val="楷体"/>
        <family val="1"/>
        <charset val="134"/>
      </rPr>
      <t>“出生率”来源于对应数据。“出生人口”通过公式计算得出。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1"/>
        <charset val="134"/>
      </rPr>
      <t>年数据来源于《​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1"/>
        <charset val="134"/>
      </rPr>
      <t>年全省常住人口主要数据》，其中“总人口”数据来源于原始资料中“年末常住人口”，“出生率”和“出生人口”来源于对应数据。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</si>
</sst>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1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1"/>
    </font>
    <font>
      <sz val="14"/>
      <name val="Times New Roman"/>
      <family val="1"/>
    </font>
    <font>
      <b/>
      <sz val="12"/>
      <color theme="1"/>
      <name val="楷体"/>
      <family val="1"/>
      <charset val="134"/>
    </font>
    <font>
      <b/>
      <sz val="12"/>
      <color theme="1"/>
      <name val="宋体"/>
      <family val="1"/>
      <charset val="134"/>
    </font>
    <font>
      <b/>
      <sz val="12"/>
      <color theme="1"/>
      <name val="Times New Roman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6" fillId="0" borderId="0" xfId="0" applyFont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177" fontId="7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28" workbookViewId="0">
      <selection activeCell="A41" sqref="A41:D41"/>
    </sheetView>
  </sheetViews>
  <sheetFormatPr defaultRowHeight="13.8" x14ac:dyDescent="0.25"/>
  <cols>
    <col min="1" max="1" width="6.88671875" bestFit="1" customWidth="1"/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3" t="s">
        <v>0</v>
      </c>
      <c r="B1" s="5" t="s">
        <v>3</v>
      </c>
      <c r="C1" s="3" t="s">
        <v>1</v>
      </c>
      <c r="D1" s="4" t="s">
        <v>4</v>
      </c>
    </row>
    <row r="2" spans="1:4" ht="18" x14ac:dyDescent="0.25">
      <c r="A2" s="3">
        <v>1988</v>
      </c>
      <c r="B2" s="5">
        <v>637</v>
      </c>
      <c r="C2" s="3">
        <v>20.63</v>
      </c>
      <c r="D2" s="5"/>
    </row>
    <row r="3" spans="1:4" ht="18" x14ac:dyDescent="0.25">
      <c r="A3" s="3">
        <v>1989</v>
      </c>
      <c r="B3" s="5"/>
      <c r="C3" s="3"/>
      <c r="D3" s="5"/>
    </row>
    <row r="4" spans="1:4" ht="18" x14ac:dyDescent="0.25">
      <c r="A4" s="3">
        <v>1990</v>
      </c>
      <c r="B4" s="5">
        <v>662</v>
      </c>
      <c r="C4" s="3">
        <v>24.88</v>
      </c>
      <c r="D4" s="5"/>
    </row>
    <row r="5" spans="1:4" ht="18" x14ac:dyDescent="0.25">
      <c r="A5" s="3">
        <v>1991</v>
      </c>
      <c r="B5" s="5"/>
      <c r="C5" s="3"/>
      <c r="D5" s="5"/>
    </row>
    <row r="6" spans="1:4" ht="18" x14ac:dyDescent="0.25">
      <c r="A6" s="3">
        <v>1992</v>
      </c>
      <c r="B6" s="5">
        <v>686</v>
      </c>
      <c r="C6" s="3">
        <v>21.35</v>
      </c>
      <c r="D6" s="5"/>
    </row>
    <row r="7" spans="1:4" ht="18" x14ac:dyDescent="0.25">
      <c r="A7" s="3">
        <v>1993</v>
      </c>
      <c r="B7" s="5">
        <v>701</v>
      </c>
      <c r="C7" s="3">
        <v>21.01</v>
      </c>
      <c r="D7" s="5">
        <f>(B6+B7)/2*C7/1000</f>
        <v>14.570435000000002</v>
      </c>
    </row>
    <row r="8" spans="1:4" ht="18" x14ac:dyDescent="0.25">
      <c r="A8" s="3">
        <v>1994</v>
      </c>
      <c r="B8" s="5">
        <v>711</v>
      </c>
      <c r="C8" s="3">
        <v>20.77</v>
      </c>
      <c r="D8" s="5">
        <f t="shared" ref="D8:D10" si="0">(B7+B8)/2*C8/1000</f>
        <v>14.663619999999998</v>
      </c>
    </row>
    <row r="9" spans="1:4" ht="18" x14ac:dyDescent="0.25">
      <c r="A9" s="3">
        <v>1995</v>
      </c>
      <c r="B9" s="5">
        <v>723.79</v>
      </c>
      <c r="C9" s="3">
        <v>20.12</v>
      </c>
      <c r="D9" s="5">
        <f t="shared" si="0"/>
        <v>14.433987399999999</v>
      </c>
    </row>
    <row r="10" spans="1:4" ht="18" x14ac:dyDescent="0.25">
      <c r="A10" s="3">
        <v>1996</v>
      </c>
      <c r="B10" s="5">
        <v>734.14</v>
      </c>
      <c r="C10" s="3">
        <v>20.079999999999998</v>
      </c>
      <c r="D10" s="5">
        <f t="shared" si="0"/>
        <v>14.637617199999998</v>
      </c>
    </row>
    <row r="11" spans="1:4" ht="18" x14ac:dyDescent="0.25">
      <c r="A11" s="3">
        <v>1997</v>
      </c>
      <c r="B11" s="5"/>
      <c r="C11" s="3"/>
      <c r="D11" s="5"/>
    </row>
    <row r="12" spans="1:4" ht="18" x14ac:dyDescent="0.25">
      <c r="A12" s="3">
        <v>1998</v>
      </c>
      <c r="B12" s="5">
        <v>752.82</v>
      </c>
      <c r="C12" s="3">
        <v>18.48</v>
      </c>
      <c r="D12" s="5"/>
    </row>
    <row r="13" spans="1:4" ht="18" x14ac:dyDescent="0.25">
      <c r="A13" s="3">
        <v>1999</v>
      </c>
      <c r="B13" s="5">
        <v>761.93</v>
      </c>
      <c r="C13" s="3">
        <v>17.260000000000002</v>
      </c>
      <c r="D13" s="5">
        <f>(B12+B13)/2*C13/1000</f>
        <v>13.072292500000001</v>
      </c>
    </row>
    <row r="14" spans="1:4" ht="18" x14ac:dyDescent="0.25">
      <c r="A14" s="3">
        <v>2000</v>
      </c>
      <c r="B14" s="5">
        <v>788.05</v>
      </c>
      <c r="C14" s="3">
        <v>15.67</v>
      </c>
      <c r="D14" s="5">
        <f t="shared" ref="D14:D38" si="1">(B13+B14)/2*C14/1000</f>
        <v>12.1440933</v>
      </c>
    </row>
    <row r="15" spans="1:4" ht="18" x14ac:dyDescent="0.25">
      <c r="A15" s="3">
        <v>2001</v>
      </c>
      <c r="B15" s="5">
        <v>795.55</v>
      </c>
      <c r="C15" s="3">
        <v>15.23</v>
      </c>
      <c r="D15" s="5">
        <f t="shared" si="1"/>
        <v>12.059113999999999</v>
      </c>
    </row>
    <row r="16" spans="1:4" ht="18" x14ac:dyDescent="0.25">
      <c r="A16" s="3">
        <v>2002</v>
      </c>
      <c r="B16" s="5">
        <v>803.13</v>
      </c>
      <c r="C16" s="3">
        <v>15.2</v>
      </c>
      <c r="D16" s="5">
        <f t="shared" si="1"/>
        <v>12.149967999999999</v>
      </c>
    </row>
    <row r="17" spans="1:4" ht="18" x14ac:dyDescent="0.25">
      <c r="A17" s="3">
        <v>2003</v>
      </c>
      <c r="B17" s="5">
        <v>810.52</v>
      </c>
      <c r="C17" s="3">
        <v>14.68</v>
      </c>
      <c r="D17" s="5">
        <f t="shared" si="1"/>
        <v>11.844191</v>
      </c>
    </row>
    <row r="18" spans="1:4" ht="18" x14ac:dyDescent="0.25">
      <c r="A18" s="3">
        <v>2004</v>
      </c>
      <c r="B18" s="5">
        <v>817.83</v>
      </c>
      <c r="C18" s="3">
        <v>14.77</v>
      </c>
      <c r="D18" s="5">
        <f t="shared" si="1"/>
        <v>12.02536475</v>
      </c>
    </row>
    <row r="19" spans="1:4" ht="18" x14ac:dyDescent="0.25">
      <c r="A19" s="3">
        <v>2005</v>
      </c>
      <c r="B19" s="5">
        <v>828</v>
      </c>
      <c r="C19" s="3">
        <v>14.65</v>
      </c>
      <c r="D19" s="5">
        <f t="shared" si="1"/>
        <v>12.055704749999999</v>
      </c>
    </row>
    <row r="20" spans="1:4" ht="18" x14ac:dyDescent="0.25">
      <c r="A20" s="3">
        <v>2006</v>
      </c>
      <c r="B20" s="6">
        <v>835.88</v>
      </c>
      <c r="C20" s="7">
        <v>14.59</v>
      </c>
      <c r="D20" s="5">
        <f t="shared" si="1"/>
        <v>12.1380046</v>
      </c>
    </row>
    <row r="21" spans="1:4" ht="18" x14ac:dyDescent="0.25">
      <c r="A21" s="3">
        <v>2007</v>
      </c>
      <c r="B21" s="6">
        <v>845.03</v>
      </c>
      <c r="C21" s="7">
        <v>14.62</v>
      </c>
      <c r="D21" s="5">
        <f t="shared" si="1"/>
        <v>12.287452099999999</v>
      </c>
    </row>
    <row r="22" spans="1:4" ht="18" x14ac:dyDescent="0.25">
      <c r="A22" s="3">
        <v>2008</v>
      </c>
      <c r="B22" s="6">
        <v>854.18</v>
      </c>
      <c r="C22" s="7">
        <v>14.71</v>
      </c>
      <c r="D22" s="5">
        <f t="shared" si="1"/>
        <v>12.49768955</v>
      </c>
    </row>
    <row r="23" spans="1:4" ht="18" x14ac:dyDescent="0.25">
      <c r="A23" s="3">
        <v>2009</v>
      </c>
      <c r="B23" s="6">
        <v>864.07</v>
      </c>
      <c r="C23" s="7">
        <v>14.66</v>
      </c>
      <c r="D23" s="5">
        <f t="shared" si="1"/>
        <v>12.594772500000001</v>
      </c>
    </row>
    <row r="24" spans="1:4" ht="18" x14ac:dyDescent="0.25">
      <c r="A24" s="3">
        <v>2010</v>
      </c>
      <c r="B24" s="6">
        <v>868.55</v>
      </c>
      <c r="C24" s="7">
        <v>14.71</v>
      </c>
      <c r="D24" s="5">
        <f t="shared" si="1"/>
        <v>12.7434201</v>
      </c>
    </row>
    <row r="25" spans="1:4" ht="18" x14ac:dyDescent="0.25">
      <c r="A25" s="3">
        <v>2011</v>
      </c>
      <c r="B25" s="6">
        <v>877.38</v>
      </c>
      <c r="C25" s="7">
        <v>14.72</v>
      </c>
      <c r="D25" s="5">
        <f t="shared" si="1"/>
        <v>12.850044799999999</v>
      </c>
    </row>
    <row r="26" spans="1:4" ht="18" x14ac:dyDescent="0.25">
      <c r="A26" s="3">
        <v>2012</v>
      </c>
      <c r="B26" s="6">
        <v>886.55</v>
      </c>
      <c r="C26" s="7">
        <v>14.66</v>
      </c>
      <c r="D26" s="5">
        <f t="shared" si="1"/>
        <v>12.9296069</v>
      </c>
    </row>
    <row r="27" spans="1:4" ht="18" x14ac:dyDescent="0.25">
      <c r="A27" s="3">
        <v>2013</v>
      </c>
      <c r="B27" s="5">
        <v>895.28</v>
      </c>
      <c r="C27" s="3">
        <v>14.59</v>
      </c>
      <c r="D27" s="5">
        <f t="shared" si="1"/>
        <v>12.998449849999998</v>
      </c>
    </row>
    <row r="28" spans="1:4" ht="18" x14ac:dyDescent="0.25">
      <c r="A28" s="3">
        <v>2014</v>
      </c>
      <c r="B28" s="5">
        <v>903.48</v>
      </c>
      <c r="C28" s="3">
        <v>14.56</v>
      </c>
      <c r="D28" s="5">
        <f t="shared" si="1"/>
        <v>13.094972799999999</v>
      </c>
    </row>
    <row r="29" spans="1:4" ht="18" x14ac:dyDescent="0.25">
      <c r="A29" s="3">
        <v>2015</v>
      </c>
      <c r="B29" s="5">
        <v>910.82</v>
      </c>
      <c r="C29" s="3">
        <v>14.57</v>
      </c>
      <c r="D29" s="5">
        <f t="shared" si="1"/>
        <v>13.217175500000002</v>
      </c>
    </row>
    <row r="30" spans="1:4" ht="18" x14ac:dyDescent="0.25">
      <c r="A30" s="3">
        <v>2016</v>
      </c>
      <c r="B30" s="5">
        <v>917.13</v>
      </c>
      <c r="C30" s="3">
        <v>14.57</v>
      </c>
      <c r="D30" s="5">
        <f t="shared" si="1"/>
        <v>13.31661575</v>
      </c>
    </row>
    <row r="31" spans="1:4" ht="18" x14ac:dyDescent="0.25">
      <c r="A31" s="3">
        <v>2017</v>
      </c>
      <c r="B31" s="5">
        <v>925.76</v>
      </c>
      <c r="C31" s="3">
        <v>14.73</v>
      </c>
      <c r="D31" s="5">
        <f t="shared" si="1"/>
        <v>13.572884849999998</v>
      </c>
    </row>
    <row r="32" spans="1:4" ht="18" x14ac:dyDescent="0.25">
      <c r="A32" s="3">
        <v>2018</v>
      </c>
      <c r="B32" s="5">
        <v>934.32</v>
      </c>
      <c r="C32" s="3">
        <v>14.48</v>
      </c>
      <c r="D32" s="5">
        <f t="shared" si="1"/>
        <v>13.466979199999999</v>
      </c>
    </row>
    <row r="33" spans="1:4" ht="18" x14ac:dyDescent="0.25">
      <c r="A33" s="3">
        <v>2019</v>
      </c>
      <c r="B33" s="5">
        <v>995.27</v>
      </c>
      <c r="C33" s="3">
        <v>12.87</v>
      </c>
      <c r="D33" s="5">
        <f t="shared" si="1"/>
        <v>12.416911649999999</v>
      </c>
    </row>
    <row r="34" spans="1:4" ht="18" x14ac:dyDescent="0.25">
      <c r="A34" s="3">
        <v>2020</v>
      </c>
      <c r="B34" s="5">
        <v>1012.34</v>
      </c>
      <c r="C34" s="3">
        <v>10.36</v>
      </c>
      <c r="D34" s="5">
        <f t="shared" si="1"/>
        <v>10.3994198</v>
      </c>
    </row>
    <row r="35" spans="1:4" ht="18" x14ac:dyDescent="0.25">
      <c r="A35" s="3">
        <v>2021</v>
      </c>
      <c r="B35" s="5">
        <v>1020.46</v>
      </c>
      <c r="C35" s="3">
        <v>9.74</v>
      </c>
      <c r="D35" s="5">
        <f t="shared" si="1"/>
        <v>9.8997360000000008</v>
      </c>
    </row>
    <row r="36" spans="1:4" ht="18" x14ac:dyDescent="0.25">
      <c r="A36" s="3">
        <v>2022</v>
      </c>
      <c r="B36" s="5">
        <v>1027.02</v>
      </c>
      <c r="C36" s="3">
        <v>8.6</v>
      </c>
      <c r="D36" s="5">
        <f t="shared" si="1"/>
        <v>8.8041639999999983</v>
      </c>
    </row>
    <row r="37" spans="1:4" ht="18" x14ac:dyDescent="0.25">
      <c r="A37" s="3">
        <v>2023</v>
      </c>
      <c r="B37" s="5">
        <v>1043.21</v>
      </c>
      <c r="C37" s="3">
        <v>9.2799999999999994</v>
      </c>
      <c r="D37" s="5">
        <f t="shared" si="1"/>
        <v>9.6058671999999987</v>
      </c>
    </row>
    <row r="38" spans="1:4" ht="18" x14ac:dyDescent="0.25">
      <c r="A38" s="3">
        <v>2024</v>
      </c>
      <c r="B38" s="5">
        <v>1048.31</v>
      </c>
      <c r="C38" s="3">
        <v>9.3699999999999992</v>
      </c>
      <c r="D38" s="5">
        <f t="shared" si="1"/>
        <v>9.7987711999999991</v>
      </c>
    </row>
    <row r="39" spans="1:4" ht="18" x14ac:dyDescent="0.25">
      <c r="A39" s="3">
        <v>2025</v>
      </c>
      <c r="B39" s="5">
        <v>1055.23</v>
      </c>
      <c r="C39" s="3">
        <v>7.7</v>
      </c>
      <c r="D39" s="3">
        <v>8.1</v>
      </c>
    </row>
    <row r="40" spans="1:4" ht="18" x14ac:dyDescent="0.35">
      <c r="A40" s="1"/>
      <c r="B40" s="1"/>
      <c r="C40" s="1"/>
      <c r="D40" s="1"/>
    </row>
    <row r="41" spans="1:4" ht="124.8" customHeight="1" x14ac:dyDescent="0.25">
      <c r="A41" s="8" t="s">
        <v>5</v>
      </c>
      <c r="B41" s="2"/>
      <c r="C41" s="2"/>
      <c r="D41" s="2"/>
    </row>
    <row r="42" spans="1:4" ht="31.2" customHeight="1" x14ac:dyDescent="0.25">
      <c r="A42" s="2" t="s">
        <v>2</v>
      </c>
      <c r="B42" s="2"/>
      <c r="C42" s="2"/>
      <c r="D42" s="2"/>
    </row>
  </sheetData>
  <mergeCells count="2">
    <mergeCell ref="A42:D42"/>
    <mergeCell ref="A41:D4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2026-09-29T07:11:11Z</dcterms:modified>
</cp:coreProperties>
</file>