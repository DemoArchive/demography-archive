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人口数据\黑龙江省\"/>
    </mc:Choice>
  </mc:AlternateContent>
  <xr:revisionPtr revIDLastSave="0" documentId="13_ncr:1_{3D483768-7970-4923-8E52-E38A5CE22B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4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3" i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<sst xmlns="http://schemas.openxmlformats.org/spreadsheetml/2006/main" count="7" uniqueCount="7">
  <si>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</si>
  <si>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</si>
  <si>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</si>
  <si>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</si>
  <si>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rFont val="楷体"/>
        <family val="1"/>
        <charset val="134"/>
      </rPr>
      <t>注：</t>
    </r>
    <r>
      <rPr>
        <sz val="10"/>
        <rFont val="Times New Roman"/>
        <family val="1"/>
      </rPr>
      <t>1990</t>
    </r>
    <r>
      <rPr>
        <sz val="10"/>
        <rFont val="楷体"/>
        <family val="1"/>
        <charset val="134"/>
      </rPr>
      <t>年、</t>
    </r>
    <r>
      <rPr>
        <sz val="10"/>
        <rFont val="Times New Roman"/>
        <family val="1"/>
      </rPr>
      <t>2000</t>
    </r>
    <r>
      <rPr>
        <sz val="10"/>
        <rFont val="楷体"/>
        <family val="1"/>
        <charset val="134"/>
      </rPr>
      <t>年、</t>
    </r>
    <r>
      <rPr>
        <sz val="10"/>
        <rFont val="Times New Roman"/>
        <family val="1"/>
      </rPr>
      <t>2010</t>
    </r>
    <r>
      <rPr>
        <sz val="10"/>
        <rFont val="楷体"/>
        <family val="1"/>
        <charset val="134"/>
      </rPr>
      <t>年、</t>
    </r>
    <r>
      <rPr>
        <sz val="10"/>
        <rFont val="Times New Roman"/>
        <family val="1"/>
      </rPr>
      <t>2020</t>
    </r>
    <r>
      <rPr>
        <sz val="10"/>
        <rFont val="楷体"/>
        <family val="1"/>
        <charset val="134"/>
      </rPr>
      <t>年数据为当年普查数据推算数，</t>
    </r>
    <r>
      <rPr>
        <sz val="10"/>
        <rFont val="Times New Roman"/>
        <family val="1"/>
      </rPr>
      <t>2011</t>
    </r>
    <r>
      <rPr>
        <sz val="10"/>
        <rFont val="楷体"/>
        <family val="1"/>
        <charset val="134"/>
      </rPr>
      <t>~</t>
    </r>
    <r>
      <rPr>
        <sz val="10"/>
        <rFont val="Times New Roman"/>
        <family val="1"/>
      </rPr>
      <t>2019</t>
    </r>
    <r>
      <rPr>
        <sz val="10"/>
        <rFont val="楷体"/>
        <family val="1"/>
        <charset val="134"/>
      </rPr>
      <t>年数据为第七次全国人口普查衔接修订后数据，</t>
    </r>
    <r>
      <rPr>
        <sz val="10"/>
        <rFont val="Times New Roman"/>
        <family val="1"/>
      </rPr>
      <t>2021</t>
    </r>
    <r>
      <rPr>
        <sz val="10"/>
        <rFont val="楷体"/>
        <family val="1"/>
        <charset val="134"/>
      </rPr>
      <t>~</t>
    </r>
    <r>
      <rPr>
        <sz val="10"/>
        <rFont val="Times New Roman"/>
        <family val="1"/>
      </rPr>
      <t>2024</t>
    </r>
    <r>
      <rPr>
        <sz val="10"/>
        <rFont val="楷体"/>
        <family val="1"/>
        <charset val="134"/>
      </rPr>
      <t>年数据为年度人口抽样调查推算数据。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</si>
  <si>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</si>
  <si>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年黑龙江省统计年鉴》中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年末人口数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theme="1"/>
        <rFont val="Times New Roman"/>
        <family val="1"/>
      </rPr>
      <t>2024~1990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年黑龙江省统计年鉴》中对应数据，</t>
    </r>
    <r>
      <rPr>
        <b/>
        <sz val="12"/>
        <color theme="1"/>
        <rFont val="Times New Roman"/>
        <family val="1"/>
      </rPr>
      <t>1985~1990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来源于《</t>
    </r>
    <r>
      <rPr>
        <b/>
        <sz val="12"/>
        <color theme="1"/>
        <rFont val="Times New Roman"/>
        <family val="1"/>
      </rPr>
      <t>1999</t>
    </r>
    <r>
      <rPr>
        <b/>
        <sz val="12"/>
        <color theme="1"/>
        <rFont val="楷体"/>
        <family val="3"/>
        <charset val="134"/>
      </rPr>
      <t>年黑龙江省统计年鉴》中对应数据，</t>
    </r>
    <r>
      <rPr>
        <b/>
        <sz val="12"/>
        <color theme="1"/>
        <rFont val="Times New Roman"/>
        <family val="1"/>
      </rPr>
      <t>1985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来源于《</t>
    </r>
    <r>
      <rPr>
        <b/>
        <sz val="12"/>
        <color theme="1"/>
        <rFont val="Times New Roman"/>
        <family val="1"/>
      </rPr>
      <t>1991</t>
    </r>
    <r>
      <rPr>
        <b/>
        <sz val="12"/>
        <color theme="1"/>
        <rFont val="楷体"/>
        <family val="3"/>
        <charset val="134"/>
      </rPr>
      <t>年黑龙江省统计年鉴》中对应数据。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年数据来源于《黑龙江省国民经济和社会发展统计公报》，其中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rgb="FFFF0000"/>
        <rFont val="楷体"/>
        <family val="3"/>
        <charset val="134"/>
      </rPr>
      <t>由于《统计公报》没有出生人口和出生率数据，因此</t>
    </r>
    <r>
      <rPr>
        <b/>
        <sz val="12"/>
        <color rgb="FFFF0000"/>
        <rFont val="微软雅黑"/>
        <family val="1"/>
        <charset val="134"/>
      </rPr>
      <t>“</t>
    </r>
    <r>
      <rPr>
        <b/>
        <sz val="12"/>
        <color rgb="FFFF0000"/>
        <rFont val="楷体"/>
        <family val="3"/>
        <charset val="134"/>
      </rPr>
      <t>出生人口</t>
    </r>
    <r>
      <rPr>
        <b/>
        <sz val="12"/>
        <color rgb="FFFF0000"/>
        <rFont val="微软雅黑"/>
        <family val="1"/>
        <charset val="134"/>
      </rPr>
      <t>”</t>
    </r>
    <r>
      <rPr>
        <b/>
        <sz val="12"/>
        <color rgb="FFFF0000"/>
        <rFont val="楷体"/>
        <family val="3"/>
        <charset val="134"/>
      </rPr>
      <t>通过</t>
    </r>
    <r>
      <rPr>
        <b/>
        <sz val="12"/>
        <color rgb="FFFF0000"/>
        <rFont val="微软雅黑"/>
        <family val="1"/>
        <charset val="134"/>
      </rPr>
      <t>“</t>
    </r>
    <r>
      <rPr>
        <b/>
        <sz val="12"/>
        <color rgb="FFFF0000"/>
        <rFont val="Times New Roman"/>
        <family val="1"/>
      </rPr>
      <t>2025</t>
    </r>
    <r>
      <rPr>
        <b/>
        <sz val="12"/>
        <color rgb="FFFF0000"/>
        <rFont val="楷体"/>
        <family val="3"/>
        <charset val="134"/>
      </rPr>
      <t>年全国出生人口（不含港澳台）</t>
    </r>
    <r>
      <rPr>
        <b/>
        <sz val="12"/>
        <color rgb="FFFF0000"/>
        <rFont val="Times New Roman"/>
        <family val="1"/>
      </rPr>
      <t>-</t>
    </r>
    <r>
      <rPr>
        <b/>
        <sz val="12"/>
        <color rgb="FFFF0000"/>
        <rFont val="楷体"/>
        <family val="3"/>
        <charset val="134"/>
      </rPr>
      <t>其余地区出生人口</t>
    </r>
    <r>
      <rPr>
        <b/>
        <sz val="12"/>
        <color rgb="FFFF0000"/>
        <rFont val="微软雅黑"/>
        <family val="1"/>
        <charset val="134"/>
      </rPr>
      <t>”</t>
    </r>
    <r>
      <rPr>
        <b/>
        <sz val="12"/>
        <color rgb="FFFF0000"/>
        <rFont val="楷体"/>
        <family val="3"/>
        <charset val="134"/>
      </rPr>
      <t>计算</t>
    </r>
    <r>
      <rPr>
        <b/>
        <sz val="12"/>
        <color rgb="FFFF0000"/>
        <rFont val="Times New Roman"/>
        <family val="3"/>
      </rPr>
      <t>2025</t>
    </r>
    <r>
      <rPr>
        <b/>
        <sz val="12"/>
        <color rgb="FFFF0000"/>
        <rFont val="楷体"/>
        <family val="3"/>
        <charset val="134"/>
      </rPr>
      <t>年黑龙江出生人口数，并根据计算的出生人口反推</t>
    </r>
    <r>
      <rPr>
        <b/>
        <sz val="12"/>
        <color rgb="FFFF0000"/>
        <rFont val="Times New Roman"/>
        <family val="3"/>
      </rPr>
      <t>2025</t>
    </r>
    <r>
      <rPr>
        <b/>
        <sz val="12"/>
        <color rgb="FFFF0000"/>
        <rFont val="楷体"/>
        <family val="3"/>
        <charset val="134"/>
      </rPr>
      <t>年</t>
    </r>
    <r>
      <rPr>
        <b/>
        <sz val="12"/>
        <color rgb="FFFF0000"/>
        <rFont val="微软雅黑"/>
        <family val="1"/>
        <charset val="134"/>
      </rPr>
      <t>“</t>
    </r>
    <r>
      <rPr>
        <b/>
        <sz val="12"/>
        <color rgb="FFFF0000"/>
        <rFont val="楷体"/>
        <family val="3"/>
        <charset val="134"/>
      </rPr>
      <t>出生率</t>
    </r>
    <r>
      <rPr>
        <b/>
        <sz val="12"/>
        <color rgb="FFFF0000"/>
        <rFont val="微软雅黑"/>
        <family val="1"/>
        <charset val="134"/>
      </rPr>
      <t>”。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</si>
</sst>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"/>
    <numFmt numFmtId="178" formatCode="0.00_ "/>
  </numFmts>
  <fonts count="17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rgb="FFFF0000"/>
      <name val="楷体"/>
      <family val="3"/>
      <charset val="134"/>
    </font>
    <font>
      <sz val="1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34"/>
    </font>
    <font>
      <sz val="10"/>
      <name val="楷体"/>
      <family val="1"/>
      <charset val="134"/>
    </font>
    <font>
      <b/>
      <sz val="12"/>
      <color theme="1"/>
      <name val="微软雅黑"/>
      <family val="1"/>
      <charset val="134"/>
    </font>
    <font>
      <b/>
      <sz val="12"/>
      <color rgb="FFFF0000"/>
      <name val="微软雅黑"/>
      <family val="1"/>
      <charset val="134"/>
    </font>
    <font>
      <b/>
      <sz val="12"/>
      <color theme="1"/>
      <name val="Times New Roman"/>
      <family val="3"/>
      <charset val="134"/>
    </font>
    <font>
      <b/>
      <sz val="12"/>
      <color rgb="FFFF0000"/>
      <name val="Times New Roman"/>
      <family val="1"/>
    </font>
    <font>
      <b/>
      <sz val="12"/>
      <color rgb="FFFF0000"/>
      <name val="Times New Roman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9" fillId="0" borderId="1" xfId="0" applyNumberFormat="1" applyFont="1" applyBorder="1" applyAlignment="1">
      <alignment horizontal="right" vertical="center" wrapText="1"/>
    </xf>
    <xf numFmtId="177" fontId="9" fillId="0" borderId="1" xfId="0" applyNumberFormat="1" applyFont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74" workbookViewId="0">
      <selection activeCell="A77" sqref="A77:D77"/>
    </sheetView>
  </sheetViews>
  <sheetFormatPr defaultRowHeight="13.8" x14ac:dyDescent="0.25"/>
  <cols>
    <col min="1" max="1" width="6.88671875" bestFit="1" customWidth="1"/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ht="18" x14ac:dyDescent="0.25">
      <c r="A2" s="3">
        <v>1953</v>
      </c>
      <c r="B2" s="4">
        <v>1189.7</v>
      </c>
      <c r="C2" s="1"/>
      <c r="D2" s="1"/>
    </row>
    <row r="3" spans="1:4" ht="18" x14ac:dyDescent="0.25">
      <c r="A3" s="3">
        <v>1954</v>
      </c>
      <c r="B3" s="4">
        <v>1250.2</v>
      </c>
      <c r="C3" s="1">
        <v>43.36</v>
      </c>
      <c r="D3" s="2">
        <f>(B2+B3)/2*C3/1000</f>
        <v>52.897031999999996</v>
      </c>
    </row>
    <row r="4" spans="1:4" ht="18" x14ac:dyDescent="0.25">
      <c r="A4" s="3">
        <v>1955</v>
      </c>
      <c r="B4" s="4">
        <v>1321.2</v>
      </c>
      <c r="C4" s="1">
        <v>40.46</v>
      </c>
      <c r="D4" s="2">
        <f t="shared" ref="D4:D67" si="0">(B3+B4)/2*C4/1000</f>
        <v>52.019422000000006</v>
      </c>
    </row>
    <row r="5" spans="1:4" ht="18" x14ac:dyDescent="0.25">
      <c r="A5" s="3">
        <v>1956</v>
      </c>
      <c r="B5" s="4">
        <v>1418.2</v>
      </c>
      <c r="C5" s="1">
        <v>33.119999999999997</v>
      </c>
      <c r="D5" s="2">
        <f t="shared" si="0"/>
        <v>45.364463999999998</v>
      </c>
    </row>
    <row r="6" spans="1:4" ht="18" x14ac:dyDescent="0.25">
      <c r="A6" s="3">
        <v>1957</v>
      </c>
      <c r="B6" s="4">
        <v>1478.5</v>
      </c>
      <c r="C6" s="1">
        <v>36.590000000000003</v>
      </c>
      <c r="D6" s="2">
        <f t="shared" si="0"/>
        <v>52.995126499999998</v>
      </c>
    </row>
    <row r="7" spans="1:4" ht="18" x14ac:dyDescent="0.25">
      <c r="A7" s="3">
        <v>1958</v>
      </c>
      <c r="B7" s="4">
        <v>1563.7</v>
      </c>
      <c r="C7" s="1">
        <v>33.01</v>
      </c>
      <c r="D7" s="2">
        <f t="shared" si="0"/>
        <v>50.211510999999994</v>
      </c>
    </row>
    <row r="8" spans="1:4" ht="18" x14ac:dyDescent="0.25">
      <c r="A8" s="3">
        <v>1959</v>
      </c>
      <c r="B8" s="4">
        <v>1682</v>
      </c>
      <c r="C8" s="1">
        <v>30.36</v>
      </c>
      <c r="D8" s="2">
        <f t="shared" si="0"/>
        <v>49.269725999999999</v>
      </c>
    </row>
    <row r="9" spans="1:4" ht="18" x14ac:dyDescent="0.25">
      <c r="A9" s="3">
        <v>1960</v>
      </c>
      <c r="B9" s="4">
        <v>1807.1</v>
      </c>
      <c r="C9" s="1">
        <v>32.57</v>
      </c>
      <c r="D9" s="2">
        <f t="shared" si="0"/>
        <v>56.819993499999995</v>
      </c>
    </row>
    <row r="10" spans="1:4" ht="18" x14ac:dyDescent="0.25">
      <c r="A10" s="3">
        <v>1961</v>
      </c>
      <c r="B10" s="4">
        <v>1897.1</v>
      </c>
      <c r="C10" s="1">
        <v>27.26</v>
      </c>
      <c r="D10" s="2">
        <f t="shared" si="0"/>
        <v>50.488245999999997</v>
      </c>
    </row>
    <row r="11" spans="1:4" ht="18" x14ac:dyDescent="0.25">
      <c r="A11" s="3">
        <v>1962</v>
      </c>
      <c r="B11" s="4">
        <v>1893.5</v>
      </c>
      <c r="C11" s="1">
        <v>35.46</v>
      </c>
      <c r="D11" s="2">
        <f t="shared" si="0"/>
        <v>67.207338000000007</v>
      </c>
    </row>
    <row r="12" spans="1:4" ht="18" x14ac:dyDescent="0.25">
      <c r="A12" s="3">
        <v>1963</v>
      </c>
      <c r="B12" s="4">
        <v>1972</v>
      </c>
      <c r="C12" s="1">
        <v>45.06</v>
      </c>
      <c r="D12" s="2">
        <f t="shared" si="0"/>
        <v>87.089715000000012</v>
      </c>
    </row>
    <row r="13" spans="1:4" ht="18" x14ac:dyDescent="0.25">
      <c r="A13" s="3">
        <v>1964</v>
      </c>
      <c r="B13" s="4">
        <v>2053.3000000000002</v>
      </c>
      <c r="C13" s="1">
        <v>42.47</v>
      </c>
      <c r="D13" s="2">
        <f t="shared" si="0"/>
        <v>85.477245500000009</v>
      </c>
    </row>
    <row r="14" spans="1:4" ht="18" x14ac:dyDescent="0.25">
      <c r="A14" s="3">
        <v>1965</v>
      </c>
      <c r="B14" s="4">
        <v>2133.9</v>
      </c>
      <c r="C14" s="1">
        <v>40.380000000000003</v>
      </c>
      <c r="D14" s="2">
        <f t="shared" si="0"/>
        <v>84.539568000000017</v>
      </c>
    </row>
    <row r="15" spans="1:4" ht="18" x14ac:dyDescent="0.25">
      <c r="A15" s="3">
        <v>1966</v>
      </c>
      <c r="B15" s="4">
        <v>2188.6</v>
      </c>
      <c r="C15" s="1">
        <v>34.31</v>
      </c>
      <c r="D15" s="2">
        <f t="shared" si="0"/>
        <v>74.152487500000007</v>
      </c>
    </row>
    <row r="16" spans="1:4" ht="18" x14ac:dyDescent="0.25">
      <c r="A16" s="3">
        <v>1967</v>
      </c>
      <c r="B16" s="4">
        <v>2258.9</v>
      </c>
      <c r="C16" s="1">
        <v>32.51</v>
      </c>
      <c r="D16" s="2">
        <f t="shared" si="0"/>
        <v>72.294112499999983</v>
      </c>
    </row>
    <row r="17" spans="1:4" ht="18" x14ac:dyDescent="0.25">
      <c r="A17" s="3">
        <v>1968</v>
      </c>
      <c r="B17" s="4">
        <v>2343.4</v>
      </c>
      <c r="C17" s="1">
        <v>34.97</v>
      </c>
      <c r="D17" s="2">
        <f t="shared" si="0"/>
        <v>80.4712155</v>
      </c>
    </row>
    <row r="18" spans="1:4" ht="18" x14ac:dyDescent="0.25">
      <c r="A18" s="3">
        <v>1969</v>
      </c>
      <c r="B18" s="4">
        <v>2440.8000000000002</v>
      </c>
      <c r="C18" s="1">
        <v>29.13</v>
      </c>
      <c r="D18" s="2">
        <f t="shared" si="0"/>
        <v>69.68187300000001</v>
      </c>
    </row>
    <row r="19" spans="1:4" ht="18" x14ac:dyDescent="0.25">
      <c r="A19" s="3">
        <v>1970</v>
      </c>
      <c r="B19" s="4">
        <v>2522.6</v>
      </c>
      <c r="C19" s="1">
        <v>34.799999999999997</v>
      </c>
      <c r="D19" s="2">
        <f t="shared" si="0"/>
        <v>86.363159999999993</v>
      </c>
    </row>
    <row r="20" spans="1:4" ht="18" x14ac:dyDescent="0.25">
      <c r="A20" s="3">
        <v>1971</v>
      </c>
      <c r="B20" s="4">
        <v>2627.2</v>
      </c>
      <c r="C20" s="1">
        <v>32.92</v>
      </c>
      <c r="D20" s="2">
        <f t="shared" si="0"/>
        <v>84.765708000000004</v>
      </c>
    </row>
    <row r="21" spans="1:4" ht="18" x14ac:dyDescent="0.25">
      <c r="A21" s="3">
        <v>1972</v>
      </c>
      <c r="B21" s="4">
        <v>2723.4</v>
      </c>
      <c r="C21" s="1">
        <v>33.04</v>
      </c>
      <c r="D21" s="2">
        <f t="shared" si="0"/>
        <v>88.391911999999991</v>
      </c>
    </row>
    <row r="22" spans="1:4" ht="18" x14ac:dyDescent="0.25">
      <c r="A22" s="3">
        <v>1973</v>
      </c>
      <c r="B22" s="4">
        <v>2818.6</v>
      </c>
      <c r="C22" s="1">
        <v>30.56</v>
      </c>
      <c r="D22" s="2">
        <f t="shared" si="0"/>
        <v>84.681759999999997</v>
      </c>
    </row>
    <row r="23" spans="1:4" ht="18" x14ac:dyDescent="0.25">
      <c r="A23" s="3">
        <v>1974</v>
      </c>
      <c r="B23" s="4">
        <v>2894</v>
      </c>
      <c r="C23" s="1">
        <v>25.82</v>
      </c>
      <c r="D23" s="2">
        <f t="shared" si="0"/>
        <v>73.749666000000019</v>
      </c>
    </row>
    <row r="24" spans="1:4" ht="18" x14ac:dyDescent="0.25">
      <c r="A24" s="3">
        <v>1975</v>
      </c>
      <c r="B24" s="4">
        <v>2958.1</v>
      </c>
      <c r="C24" s="1">
        <v>21.93</v>
      </c>
      <c r="D24" s="2">
        <f t="shared" si="0"/>
        <v>64.168276500000005</v>
      </c>
    </row>
    <row r="25" spans="1:4" ht="18" x14ac:dyDescent="0.25">
      <c r="A25" s="3">
        <v>1976</v>
      </c>
      <c r="B25" s="4">
        <v>3019.4</v>
      </c>
      <c r="C25" s="1">
        <v>18.579999999999998</v>
      </c>
      <c r="D25" s="2">
        <f t="shared" si="0"/>
        <v>55.530974999999991</v>
      </c>
    </row>
    <row r="26" spans="1:4" ht="18" x14ac:dyDescent="0.25">
      <c r="A26" s="3">
        <v>1977</v>
      </c>
      <c r="B26" s="4">
        <v>3072.5</v>
      </c>
      <c r="C26" s="1">
        <v>17.18</v>
      </c>
      <c r="D26" s="2">
        <f t="shared" si="0"/>
        <v>52.329420999999996</v>
      </c>
    </row>
    <row r="27" spans="1:4" ht="18" x14ac:dyDescent="0.25">
      <c r="A27" s="3">
        <v>1978</v>
      </c>
      <c r="B27" s="4">
        <v>3129.6</v>
      </c>
      <c r="C27" s="1">
        <v>16.84</v>
      </c>
      <c r="D27" s="2">
        <f t="shared" si="0"/>
        <v>52.221682000000001</v>
      </c>
    </row>
    <row r="28" spans="1:4" ht="18" x14ac:dyDescent="0.25">
      <c r="A28" s="3">
        <v>1979</v>
      </c>
      <c r="B28" s="4">
        <v>3168.7</v>
      </c>
      <c r="C28" s="1">
        <v>15.4</v>
      </c>
      <c r="D28" s="2">
        <f t="shared" si="0"/>
        <v>48.49691</v>
      </c>
    </row>
    <row r="29" spans="1:4" ht="18" x14ac:dyDescent="0.25">
      <c r="A29" s="3">
        <v>1980</v>
      </c>
      <c r="B29" s="4">
        <v>3203.8</v>
      </c>
      <c r="C29" s="1">
        <v>13.49</v>
      </c>
      <c r="D29" s="2">
        <f t="shared" si="0"/>
        <v>42.982512499999999</v>
      </c>
    </row>
    <row r="30" spans="1:4" ht="18" x14ac:dyDescent="0.25">
      <c r="A30" s="3">
        <v>1981</v>
      </c>
      <c r="B30" s="4">
        <v>3239.3</v>
      </c>
      <c r="C30" s="1">
        <v>13.07</v>
      </c>
      <c r="D30" s="2">
        <f t="shared" si="0"/>
        <v>42.105658500000004</v>
      </c>
    </row>
    <row r="31" spans="1:4" ht="18" x14ac:dyDescent="0.25">
      <c r="A31" s="3">
        <v>1982</v>
      </c>
      <c r="B31" s="4">
        <v>3281.1</v>
      </c>
      <c r="C31" s="1">
        <v>15.52</v>
      </c>
      <c r="D31" s="2">
        <f t="shared" si="0"/>
        <v>50.598303999999999</v>
      </c>
    </row>
    <row r="32" spans="1:4" ht="18" x14ac:dyDescent="0.25">
      <c r="A32" s="3">
        <v>1983</v>
      </c>
      <c r="B32" s="4">
        <v>3306</v>
      </c>
      <c r="C32" s="1">
        <v>11.85</v>
      </c>
      <c r="D32" s="2">
        <f t="shared" si="0"/>
        <v>39.028567499999994</v>
      </c>
    </row>
    <row r="33" spans="1:4" ht="18" x14ac:dyDescent="0.25">
      <c r="A33" s="3">
        <v>1984</v>
      </c>
      <c r="B33" s="4">
        <v>3331</v>
      </c>
      <c r="C33" s="1">
        <v>11.07</v>
      </c>
      <c r="D33" s="2">
        <f t="shared" si="0"/>
        <v>36.735794999999996</v>
      </c>
    </row>
    <row r="34" spans="1:4" ht="18" x14ac:dyDescent="0.25">
      <c r="A34" s="3">
        <v>1985</v>
      </c>
      <c r="B34" s="4">
        <v>3357</v>
      </c>
      <c r="C34" s="1">
        <v>15.04</v>
      </c>
      <c r="D34" s="2">
        <f t="shared" si="0"/>
        <v>50.293759999999992</v>
      </c>
    </row>
    <row r="35" spans="1:4" ht="18" x14ac:dyDescent="0.25">
      <c r="A35" s="3">
        <v>1986</v>
      </c>
      <c r="B35" s="4">
        <v>3385</v>
      </c>
      <c r="C35" s="1">
        <v>16.309999999999999</v>
      </c>
      <c r="D35" s="2">
        <f t="shared" si="0"/>
        <v>54.981009999999998</v>
      </c>
    </row>
    <row r="36" spans="1:4" ht="18" x14ac:dyDescent="0.25">
      <c r="A36" s="3">
        <v>1987</v>
      </c>
      <c r="B36" s="4">
        <v>3424</v>
      </c>
      <c r="C36" s="1">
        <v>19</v>
      </c>
      <c r="D36" s="2">
        <f t="shared" si="0"/>
        <v>64.685500000000005</v>
      </c>
    </row>
    <row r="37" spans="1:4" ht="18" x14ac:dyDescent="0.25">
      <c r="A37" s="3">
        <v>1988</v>
      </c>
      <c r="B37" s="4">
        <v>3466</v>
      </c>
      <c r="C37" s="1">
        <v>17.12</v>
      </c>
      <c r="D37" s="2">
        <f t="shared" si="0"/>
        <v>58.978400000000001</v>
      </c>
    </row>
    <row r="38" spans="1:4" ht="18" x14ac:dyDescent="0.25">
      <c r="A38" s="3">
        <v>1989</v>
      </c>
      <c r="B38" s="4">
        <v>3510</v>
      </c>
      <c r="C38" s="1">
        <v>18.84</v>
      </c>
      <c r="D38" s="2">
        <f t="shared" si="0"/>
        <v>65.713920000000002</v>
      </c>
    </row>
    <row r="39" spans="1:4" ht="18" x14ac:dyDescent="0.25">
      <c r="A39" s="3">
        <v>1990</v>
      </c>
      <c r="B39" s="4">
        <v>3543</v>
      </c>
      <c r="C39" s="5">
        <v>18.11</v>
      </c>
      <c r="D39" s="2">
        <f t="shared" si="0"/>
        <v>63.864915000000003</v>
      </c>
    </row>
    <row r="40" spans="1:4" ht="18" x14ac:dyDescent="0.25">
      <c r="A40" s="3">
        <v>1991</v>
      </c>
      <c r="B40" s="4">
        <v>3575</v>
      </c>
      <c r="C40" s="5">
        <v>15.89</v>
      </c>
      <c r="D40" s="2">
        <f t="shared" si="0"/>
        <v>56.552510000000005</v>
      </c>
    </row>
    <row r="41" spans="1:4" ht="18" x14ac:dyDescent="0.25">
      <c r="A41" s="3">
        <v>1992</v>
      </c>
      <c r="B41" s="4">
        <v>3608</v>
      </c>
      <c r="C41" s="5">
        <v>16.25</v>
      </c>
      <c r="D41" s="2">
        <f t="shared" si="0"/>
        <v>58.361874999999998</v>
      </c>
    </row>
    <row r="42" spans="1:4" ht="18" x14ac:dyDescent="0.25">
      <c r="A42" s="3">
        <v>1993</v>
      </c>
      <c r="B42" s="4">
        <v>3640</v>
      </c>
      <c r="C42" s="5">
        <v>15.9</v>
      </c>
      <c r="D42" s="2">
        <f t="shared" si="0"/>
        <v>57.621600000000001</v>
      </c>
    </row>
    <row r="43" spans="1:4" ht="18" x14ac:dyDescent="0.25">
      <c r="A43" s="3">
        <v>1994</v>
      </c>
      <c r="B43" s="4">
        <v>3672</v>
      </c>
      <c r="C43" s="5">
        <v>15.15</v>
      </c>
      <c r="D43" s="2">
        <f t="shared" si="0"/>
        <v>55.388400000000004</v>
      </c>
    </row>
    <row r="44" spans="1:4" ht="18" x14ac:dyDescent="0.25">
      <c r="A44" s="3">
        <v>1995</v>
      </c>
      <c r="B44" s="4">
        <v>3701</v>
      </c>
      <c r="C44" s="5">
        <v>13.23</v>
      </c>
      <c r="D44" s="2">
        <f t="shared" si="0"/>
        <v>48.772395000000003</v>
      </c>
    </row>
    <row r="45" spans="1:4" ht="18" x14ac:dyDescent="0.25">
      <c r="A45" s="3">
        <v>1996</v>
      </c>
      <c r="B45" s="4">
        <v>3728</v>
      </c>
      <c r="C45" s="5">
        <v>12.4</v>
      </c>
      <c r="D45" s="2">
        <f t="shared" si="0"/>
        <v>46.059800000000003</v>
      </c>
    </row>
    <row r="46" spans="1:4" ht="18" x14ac:dyDescent="0.25">
      <c r="A46" s="3">
        <v>1997</v>
      </c>
      <c r="B46" s="4">
        <v>3751</v>
      </c>
      <c r="C46" s="5">
        <v>12.02</v>
      </c>
      <c r="D46" s="2">
        <f t="shared" si="0"/>
        <v>44.948790000000002</v>
      </c>
    </row>
    <row r="47" spans="1:4" ht="18" x14ac:dyDescent="0.25">
      <c r="A47" s="3">
        <v>1998</v>
      </c>
      <c r="B47" s="4">
        <v>3773</v>
      </c>
      <c r="C47" s="5">
        <v>11.68</v>
      </c>
      <c r="D47" s="2">
        <f t="shared" si="0"/>
        <v>43.940159999999999</v>
      </c>
    </row>
    <row r="48" spans="1:4" ht="18" x14ac:dyDescent="0.25">
      <c r="A48" s="3">
        <v>1999</v>
      </c>
      <c r="B48" s="4">
        <v>3792</v>
      </c>
      <c r="C48" s="5">
        <v>10.55</v>
      </c>
      <c r="D48" s="2">
        <f t="shared" si="0"/>
        <v>39.905374999999999</v>
      </c>
    </row>
    <row r="49" spans="1:4" ht="18" x14ac:dyDescent="0.25">
      <c r="A49" s="3">
        <v>2000</v>
      </c>
      <c r="B49" s="4">
        <v>3807</v>
      </c>
      <c r="C49" s="5">
        <v>9.43</v>
      </c>
      <c r="D49" s="2">
        <f t="shared" si="0"/>
        <v>35.829284999999999</v>
      </c>
    </row>
    <row r="50" spans="1:4" ht="18" x14ac:dyDescent="0.25">
      <c r="A50" s="3">
        <v>2001</v>
      </c>
      <c r="B50" s="4">
        <v>3811</v>
      </c>
      <c r="C50" s="5">
        <v>8.48</v>
      </c>
      <c r="D50" s="2">
        <f t="shared" si="0"/>
        <v>32.300320000000006</v>
      </c>
    </row>
    <row r="51" spans="1:4" ht="18" x14ac:dyDescent="0.25">
      <c r="A51" s="3">
        <v>2002</v>
      </c>
      <c r="B51" s="4">
        <v>3813</v>
      </c>
      <c r="C51" s="5">
        <v>7.98</v>
      </c>
      <c r="D51" s="2">
        <f t="shared" si="0"/>
        <v>30.419760000000004</v>
      </c>
    </row>
    <row r="52" spans="1:4" ht="18" x14ac:dyDescent="0.25">
      <c r="A52" s="3">
        <v>2003</v>
      </c>
      <c r="B52" s="4">
        <v>3815</v>
      </c>
      <c r="C52" s="5">
        <v>7.48</v>
      </c>
      <c r="D52" s="2">
        <f t="shared" si="0"/>
        <v>28.52872</v>
      </c>
    </row>
    <row r="53" spans="1:4" ht="18" x14ac:dyDescent="0.25">
      <c r="A53" s="3">
        <v>2004</v>
      </c>
      <c r="B53" s="4">
        <v>3816.8</v>
      </c>
      <c r="C53" s="5">
        <v>7.27</v>
      </c>
      <c r="D53" s="2">
        <f t="shared" si="0"/>
        <v>27.741593000000002</v>
      </c>
    </row>
    <row r="54" spans="1:4" ht="18" x14ac:dyDescent="0.25">
      <c r="A54" s="3">
        <v>2005</v>
      </c>
      <c r="B54" s="4">
        <v>3820</v>
      </c>
      <c r="C54" s="5">
        <v>7.87</v>
      </c>
      <c r="D54" s="2">
        <f t="shared" si="0"/>
        <v>30.050808</v>
      </c>
    </row>
    <row r="55" spans="1:4" ht="18" x14ac:dyDescent="0.25">
      <c r="A55" s="3">
        <v>2006</v>
      </c>
      <c r="B55" s="4">
        <v>3823</v>
      </c>
      <c r="C55" s="5">
        <v>7.57</v>
      </c>
      <c r="D55" s="2">
        <f t="shared" si="0"/>
        <v>28.928755000000002</v>
      </c>
    </row>
    <row r="56" spans="1:4" ht="18" x14ac:dyDescent="0.25">
      <c r="A56" s="3">
        <v>2007</v>
      </c>
      <c r="B56" s="4">
        <v>3824</v>
      </c>
      <c r="C56" s="5">
        <v>7.88</v>
      </c>
      <c r="D56" s="2">
        <f t="shared" si="0"/>
        <v>30.129180000000002</v>
      </c>
    </row>
    <row r="57" spans="1:4" ht="18" x14ac:dyDescent="0.25">
      <c r="A57" s="3">
        <v>2008</v>
      </c>
      <c r="B57" s="4">
        <v>3825</v>
      </c>
      <c r="C57" s="5">
        <v>7.91</v>
      </c>
      <c r="D57" s="2">
        <f t="shared" si="0"/>
        <v>30.251795000000001</v>
      </c>
    </row>
    <row r="58" spans="1:4" ht="18" x14ac:dyDescent="0.25">
      <c r="A58" s="3">
        <v>2009</v>
      </c>
      <c r="B58" s="4">
        <v>3826</v>
      </c>
      <c r="C58" s="5">
        <v>7.48</v>
      </c>
      <c r="D58" s="2">
        <f t="shared" si="0"/>
        <v>28.614740000000001</v>
      </c>
    </row>
    <row r="59" spans="1:4" ht="18" x14ac:dyDescent="0.25">
      <c r="A59" s="3">
        <v>2010</v>
      </c>
      <c r="B59" s="4">
        <v>3833</v>
      </c>
      <c r="C59" s="5">
        <v>7.35</v>
      </c>
      <c r="D59" s="2">
        <f t="shared" si="0"/>
        <v>28.146824999999996</v>
      </c>
    </row>
    <row r="60" spans="1:4" ht="18" x14ac:dyDescent="0.25">
      <c r="A60" s="3">
        <v>2011</v>
      </c>
      <c r="B60" s="4">
        <v>3782</v>
      </c>
      <c r="C60" s="5">
        <v>6.99</v>
      </c>
      <c r="D60" s="2">
        <f t="shared" si="0"/>
        <v>26.614425000000001</v>
      </c>
    </row>
    <row r="61" spans="1:4" ht="18" x14ac:dyDescent="0.25">
      <c r="A61" s="3">
        <v>2012</v>
      </c>
      <c r="B61" s="4">
        <v>3724</v>
      </c>
      <c r="C61" s="5">
        <v>7.3</v>
      </c>
      <c r="D61" s="2">
        <f t="shared" si="0"/>
        <v>27.396899999999999</v>
      </c>
    </row>
    <row r="62" spans="1:4" ht="18" x14ac:dyDescent="0.25">
      <c r="A62" s="3">
        <v>2013</v>
      </c>
      <c r="B62" s="4">
        <v>3666</v>
      </c>
      <c r="C62" s="5">
        <v>6.86</v>
      </c>
      <c r="D62" s="2">
        <f t="shared" si="0"/>
        <v>25.3477</v>
      </c>
    </row>
    <row r="63" spans="1:4" ht="18" x14ac:dyDescent="0.25">
      <c r="A63" s="3">
        <v>2014</v>
      </c>
      <c r="B63" s="4">
        <v>3608</v>
      </c>
      <c r="C63" s="5">
        <v>7.37</v>
      </c>
      <c r="D63" s="2">
        <f t="shared" si="0"/>
        <v>26.804689999999997</v>
      </c>
    </row>
    <row r="64" spans="1:4" ht="18" x14ac:dyDescent="0.25">
      <c r="A64" s="3">
        <v>2015</v>
      </c>
      <c r="B64" s="4">
        <v>3529</v>
      </c>
      <c r="C64" s="5">
        <v>6</v>
      </c>
      <c r="D64" s="2">
        <f t="shared" si="0"/>
        <v>21.411000000000001</v>
      </c>
    </row>
    <row r="65" spans="1:4" ht="18" x14ac:dyDescent="0.25">
      <c r="A65" s="3">
        <v>2016</v>
      </c>
      <c r="B65" s="4">
        <v>3463</v>
      </c>
      <c r="C65" s="5">
        <v>6.12</v>
      </c>
      <c r="D65" s="2">
        <f t="shared" si="0"/>
        <v>21.395520000000001</v>
      </c>
    </row>
    <row r="66" spans="1:4" ht="18" x14ac:dyDescent="0.25">
      <c r="A66" s="3">
        <v>2017</v>
      </c>
      <c r="B66" s="4">
        <v>3399</v>
      </c>
      <c r="C66" s="5">
        <v>6.22</v>
      </c>
      <c r="D66" s="2">
        <f t="shared" si="0"/>
        <v>21.340820000000001</v>
      </c>
    </row>
    <row r="67" spans="1:4" ht="18" x14ac:dyDescent="0.25">
      <c r="A67" s="3">
        <v>2018</v>
      </c>
      <c r="B67" s="4">
        <v>3327</v>
      </c>
      <c r="C67" s="5">
        <v>5.98</v>
      </c>
      <c r="D67" s="2">
        <f t="shared" si="0"/>
        <v>20.11074</v>
      </c>
    </row>
    <row r="68" spans="1:4" ht="18" x14ac:dyDescent="0.25">
      <c r="A68" s="3">
        <v>2019</v>
      </c>
      <c r="B68" s="4">
        <v>3255</v>
      </c>
      <c r="C68" s="5">
        <v>5.73</v>
      </c>
      <c r="D68" s="2">
        <f t="shared" ref="D68:D73" si="1">(B67+B68)/2*C68/1000</f>
        <v>18.857430000000001</v>
      </c>
    </row>
    <row r="69" spans="1:4" ht="18" x14ac:dyDescent="0.25">
      <c r="A69" s="6">
        <v>2020</v>
      </c>
      <c r="B69" s="4">
        <v>3171</v>
      </c>
      <c r="C69" s="5">
        <v>3.75</v>
      </c>
      <c r="D69" s="2">
        <f t="shared" si="1"/>
        <v>12.04875</v>
      </c>
    </row>
    <row r="70" spans="1:4" ht="18" x14ac:dyDescent="0.25">
      <c r="A70" s="6">
        <v>2021</v>
      </c>
      <c r="B70" s="4">
        <v>3125</v>
      </c>
      <c r="C70" s="5">
        <v>3.59</v>
      </c>
      <c r="D70" s="2">
        <f t="shared" si="1"/>
        <v>11.30132</v>
      </c>
    </row>
    <row r="71" spans="1:4" ht="18" x14ac:dyDescent="0.25">
      <c r="A71" s="6">
        <v>2022</v>
      </c>
      <c r="B71" s="4">
        <v>3099</v>
      </c>
      <c r="C71" s="5">
        <v>3.34</v>
      </c>
      <c r="D71" s="2">
        <f t="shared" si="1"/>
        <v>10.394080000000001</v>
      </c>
    </row>
    <row r="72" spans="1:4" ht="18" x14ac:dyDescent="0.25">
      <c r="A72" s="6">
        <v>2023</v>
      </c>
      <c r="B72" s="4">
        <v>3062</v>
      </c>
      <c r="C72" s="5">
        <v>2.92</v>
      </c>
      <c r="D72" s="2">
        <f t="shared" si="1"/>
        <v>8.9950599999999987</v>
      </c>
    </row>
    <row r="73" spans="1:4" ht="18" x14ac:dyDescent="0.25">
      <c r="A73" s="6">
        <v>2024</v>
      </c>
      <c r="B73" s="4">
        <v>3029</v>
      </c>
      <c r="C73" s="5">
        <v>3.35</v>
      </c>
      <c r="D73" s="2">
        <f t="shared" si="1"/>
        <v>10.202425000000002</v>
      </c>
    </row>
    <row r="74" spans="1:4" ht="18" x14ac:dyDescent="0.25">
      <c r="A74" s="6">
        <v>2025</v>
      </c>
      <c r="B74" s="1">
        <v>3001</v>
      </c>
      <c r="C74" s="7">
        <f>D74*1000*2/(B73+B74)</f>
        <v>2.7529021558872304</v>
      </c>
      <c r="D74" s="1">
        <v>8.3000000000000007</v>
      </c>
    </row>
    <row r="75" spans="1:4" ht="47.4" customHeight="1" x14ac:dyDescent="0.25">
      <c r="A75" s="10" t="s">
        <v>4</v>
      </c>
      <c r="B75" s="10"/>
      <c r="C75" s="10"/>
      <c r="D75" s="10"/>
    </row>
    <row r="77" spans="1:4" ht="175.8" customHeight="1" x14ac:dyDescent="0.25">
      <c r="A77" s="8" t="s">
        <v>6</v>
      </c>
      <c r="B77" s="9"/>
      <c r="C77" s="9"/>
      <c r="D77" s="9"/>
    </row>
    <row r="78" spans="1:4" ht="35.4" customHeight="1" x14ac:dyDescent="0.25">
      <c r="A78" s="8" t="s">
        <v>5</v>
      </c>
      <c r="B78" s="9"/>
      <c r="C78" s="9"/>
      <c r="D78" s="9"/>
    </row>
  </sheetData>
  <mergeCells count="3">
    <mergeCell ref="A77:D77"/>
    <mergeCell ref="A78:D78"/>
    <mergeCell ref="A75:D7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2026-10-12T08:15:18Z</dcterms:modified>
</cp:coreProperties>
</file>