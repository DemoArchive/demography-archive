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web\安徽省\"/>
    </mc:Choice>
  </mc:AlternateContent>
  <xr:revisionPtr revIDLastSave="0" documentId="13_ncr:1_{83A15326-261F-457C-B084-9F4C57635778}" xr6:coauthVersionLast="47" xr6:coauthVersionMax="47" xr10:uidLastSave="{00000000-0000-0000-0000-000000000000}"/>
  <bookViews>
    <workbookView xWindow="-108" yWindow="-108" windowWidth="23256" windowHeight="12576" xr2:uid="{BC12CE8E-B9AF-41F4-A2E5-A972C83234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45" i="1"/>
</calcChain>
</file>

<file path=xl/sharedStrings.xml><?xml version="1.0" encoding="utf-8"?>
<sst xmlns="http://schemas.openxmlformats.org/spreadsheetml/2006/main" count="7" uniqueCount="7">
  <si>
    <r>
      <rPr>
        <b/>
        <sz val="12"/>
        <color theme="1"/>
        <rFont val="楷体"/>
        <family val="3"/>
        <charset val="134"/>
      </rPr>
      <t>出生人口计算公式</t>
    </r>
    <r>
      <rPr>
        <b/>
        <sz val="12"/>
        <color theme="1"/>
        <rFont val="Times New Roman"/>
        <family val="1"/>
      </rPr>
      <t xml:space="preserve"> = [</t>
    </r>
    <r>
      <rPr>
        <b/>
        <sz val="12"/>
        <color theme="1"/>
        <rFont val="楷体"/>
        <family val="3"/>
        <charset val="134"/>
      </rPr>
      <t>（当年总人口</t>
    </r>
    <r>
      <rPr>
        <b/>
        <sz val="12"/>
        <color theme="1"/>
        <rFont val="Times New Roman"/>
        <family val="1"/>
      </rPr>
      <t>+</t>
    </r>
    <r>
      <rPr>
        <b/>
        <sz val="12"/>
        <color theme="1"/>
        <rFont val="楷体"/>
        <family val="3"/>
        <charset val="134"/>
      </rPr>
      <t>上年总人口）</t>
    </r>
    <r>
      <rPr>
        <b/>
        <sz val="12"/>
        <color theme="1"/>
        <rFont val="Times New Roman"/>
        <family val="1"/>
      </rPr>
      <t>/2]×</t>
    </r>
    <r>
      <rPr>
        <b/>
        <sz val="12"/>
        <color theme="1"/>
        <rFont val="楷体"/>
        <family val="3"/>
        <charset val="134"/>
      </rPr>
      <t>出生率</t>
    </r>
    <phoneticPr fontId="7" type="noConversion"/>
  </si>
  <si>
    <r>
      <rPr>
        <sz val="10"/>
        <rFont val="楷体"/>
        <family val="3"/>
        <charset val="134"/>
      </rPr>
      <t>注：常住人口（</t>
    </r>
    <r>
      <rPr>
        <sz val="10"/>
        <rFont val="Times New Roman"/>
        <family val="1"/>
      </rPr>
      <t>1990</t>
    </r>
    <r>
      <rPr>
        <sz val="10"/>
        <rFont val="楷体"/>
        <family val="3"/>
        <charset val="134"/>
      </rPr>
      <t>年以后）是指常住本地的人，不包括户籍人口中到省外半年以上的人口，包括外省来安徽省常住半年以上的人口。</t>
    </r>
    <phoneticPr fontId="1" type="noConversion"/>
  </si>
  <si>
    <r>
      <rPr>
        <sz val="14"/>
        <rFont val="楷体"/>
        <family val="3"/>
        <charset val="134"/>
      </rPr>
      <t>年份</t>
    </r>
    <phoneticPr fontId="1" type="noConversion"/>
  </si>
  <si>
    <r>
      <rPr>
        <sz val="14"/>
        <rFont val="楷体"/>
        <family val="3"/>
        <charset val="134"/>
      </rPr>
      <t>总人口（万人）</t>
    </r>
    <phoneticPr fontId="1" type="noConversion"/>
  </si>
  <si>
    <r>
      <rPr>
        <sz val="14"/>
        <rFont val="楷体"/>
        <family val="3"/>
        <charset val="134"/>
      </rPr>
      <t>出生率（</t>
    </r>
    <r>
      <rPr>
        <sz val="14"/>
        <rFont val="Times New Roman"/>
        <family val="1"/>
      </rPr>
      <t>‰</t>
    </r>
    <r>
      <rPr>
        <sz val="14"/>
        <rFont val="楷体"/>
        <family val="3"/>
        <charset val="134"/>
      </rPr>
      <t>）</t>
    </r>
    <phoneticPr fontId="1" type="noConversion"/>
  </si>
  <si>
    <r>
      <rPr>
        <sz val="14"/>
        <rFont val="楷体"/>
        <family val="3"/>
        <charset val="134"/>
      </rPr>
      <t>出生人口（万人）</t>
    </r>
    <phoneticPr fontId="1" type="noConversion"/>
  </si>
  <si>
    <t>表格中“总人口”数据来源：2024~2012年来源于《2025年安徽省统计年鉴》中“常住人口”；2011、2010年来源于《2012年安徽省统计年鉴》中“常住人口”；2009~2005年来源于《2010年安徽省统计年鉴》中“常住人口”；2004~1991年来源于《2005年安徽省统计年鉴》中“常住人口”，1991年以前数据来源于《2000年安徽省统计年鉴》中“年底总人口（公安户籍统计）”。“出生率”来源于上述对应资料中相应数据，其中1990年出生率数据来源于《1999年安徽省统计年鉴》。“出生人口”通过公式计算得出。2025年数据来源于《安徽省国民经济和社会发展统计公报》，其中“总人口”数据来源原始资料中于“年末常住人口”，“出生率”和“出生人口”来源于对应数据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</si>
</sst>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楷体"/>
      <family val="3"/>
      <charset val="134"/>
    </font>
    <font>
      <b/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4"/>
      <name val="楷体"/>
      <family val="3"/>
      <charset val="134"/>
    </font>
    <font>
      <sz val="10"/>
      <name val="Times New Roman"/>
      <family val="1"/>
    </font>
    <font>
      <sz val="10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76" fontId="3" fillId="0" borderId="1" xfId="0" applyNumberFormat="1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F16DB-2812-40CC-A2EC-34338CC4D6DA}">
  <dimension ref="A1:E82"/>
  <sheetViews>
    <sheetView tabSelected="1" topLeftCell="A67" workbookViewId="0">
      <selection sqref="A1:D78"/>
    </sheetView>
  </sheetViews>
  <sheetFormatPr defaultRowHeight="18" x14ac:dyDescent="0.25"/>
  <cols>
    <col min="1" max="1" width="6.88671875" style="1" bestFit="1" customWidth="1"/>
    <col min="2" max="2" width="21.21875" style="1" bestFit="1" customWidth="1"/>
    <col min="3" max="3" width="18.109375" style="1" bestFit="1" customWidth="1"/>
    <col min="4" max="4" width="24.109375" style="2" bestFit="1" customWidth="1"/>
    <col min="5" max="16384" width="8.88671875" style="1"/>
  </cols>
  <sheetData>
    <row r="1" spans="1:4" ht="18.600000000000001" x14ac:dyDescent="0.25">
      <c r="A1" s="4" t="s">
        <v>2</v>
      </c>
      <c r="B1" s="4" t="s">
        <v>3</v>
      </c>
      <c r="C1" s="4" t="s">
        <v>4</v>
      </c>
      <c r="D1" s="8" t="s">
        <v>5</v>
      </c>
    </row>
    <row r="2" spans="1:4" x14ac:dyDescent="0.25">
      <c r="A2" s="4">
        <v>1949</v>
      </c>
      <c r="B2" s="4">
        <v>2787</v>
      </c>
      <c r="C2" s="4"/>
      <c r="D2" s="8"/>
    </row>
    <row r="3" spans="1:4" x14ac:dyDescent="0.25">
      <c r="A3" s="4">
        <v>1950</v>
      </c>
      <c r="B3" s="4">
        <v>2842</v>
      </c>
      <c r="C3" s="4"/>
      <c r="D3" s="8"/>
    </row>
    <row r="4" spans="1:4" x14ac:dyDescent="0.25">
      <c r="A4" s="4">
        <v>1951</v>
      </c>
      <c r="B4" s="4">
        <v>2914</v>
      </c>
      <c r="C4" s="4"/>
      <c r="D4" s="8"/>
    </row>
    <row r="5" spans="1:4" x14ac:dyDescent="0.25">
      <c r="A5" s="4">
        <v>1952</v>
      </c>
      <c r="B5" s="4">
        <v>2966</v>
      </c>
      <c r="C5" s="4"/>
      <c r="D5" s="8"/>
    </row>
    <row r="6" spans="1:4" x14ac:dyDescent="0.25">
      <c r="A6" s="4">
        <v>1953</v>
      </c>
      <c r="B6" s="4">
        <v>3066</v>
      </c>
      <c r="C6" s="4"/>
      <c r="D6" s="8"/>
    </row>
    <row r="7" spans="1:4" x14ac:dyDescent="0.25">
      <c r="A7" s="4">
        <v>1954</v>
      </c>
      <c r="B7" s="4">
        <v>3149</v>
      </c>
      <c r="C7" s="4"/>
      <c r="D7" s="8"/>
    </row>
    <row r="8" spans="1:4" x14ac:dyDescent="0.25">
      <c r="A8" s="4">
        <v>1955</v>
      </c>
      <c r="B8" s="4">
        <v>3201</v>
      </c>
      <c r="C8" s="4"/>
      <c r="D8" s="8"/>
    </row>
    <row r="9" spans="1:4" x14ac:dyDescent="0.25">
      <c r="A9" s="4">
        <v>1956</v>
      </c>
      <c r="B9" s="4">
        <v>3243</v>
      </c>
      <c r="C9" s="4"/>
      <c r="D9" s="8"/>
    </row>
    <row r="10" spans="1:4" x14ac:dyDescent="0.25">
      <c r="A10" s="4">
        <v>1957</v>
      </c>
      <c r="B10" s="4">
        <v>3337</v>
      </c>
      <c r="C10" s="4"/>
      <c r="D10" s="8"/>
    </row>
    <row r="11" spans="1:4" x14ac:dyDescent="0.25">
      <c r="A11" s="4">
        <v>1958</v>
      </c>
      <c r="B11" s="4">
        <v>3394</v>
      </c>
      <c r="C11" s="4"/>
      <c r="D11" s="8"/>
    </row>
    <row r="12" spans="1:4" x14ac:dyDescent="0.25">
      <c r="A12" s="4">
        <v>1959</v>
      </c>
      <c r="B12" s="4">
        <v>3427</v>
      </c>
      <c r="C12" s="4"/>
      <c r="D12" s="8"/>
    </row>
    <row r="13" spans="1:4" x14ac:dyDescent="0.25">
      <c r="A13" s="4">
        <v>1960</v>
      </c>
      <c r="B13" s="4">
        <v>3043</v>
      </c>
      <c r="C13" s="4"/>
      <c r="D13" s="8"/>
    </row>
    <row r="14" spans="1:4" x14ac:dyDescent="0.25">
      <c r="A14" s="4">
        <v>1961</v>
      </c>
      <c r="B14" s="4">
        <v>2988</v>
      </c>
      <c r="C14" s="4"/>
      <c r="D14" s="8"/>
    </row>
    <row r="15" spans="1:4" x14ac:dyDescent="0.25">
      <c r="A15" s="4">
        <v>1962</v>
      </c>
      <c r="B15" s="4">
        <v>3134</v>
      </c>
      <c r="C15" s="4"/>
      <c r="D15" s="8"/>
    </row>
    <row r="16" spans="1:4" x14ac:dyDescent="0.25">
      <c r="A16" s="4">
        <v>1963</v>
      </c>
      <c r="B16" s="4">
        <v>3232</v>
      </c>
      <c r="C16" s="4"/>
      <c r="D16" s="8"/>
    </row>
    <row r="17" spans="1:4" x14ac:dyDescent="0.25">
      <c r="A17" s="4">
        <v>1964</v>
      </c>
      <c r="B17" s="4">
        <v>3181</v>
      </c>
      <c r="C17" s="4"/>
      <c r="D17" s="8"/>
    </row>
    <row r="18" spans="1:4" x14ac:dyDescent="0.25">
      <c r="A18" s="4">
        <v>1965</v>
      </c>
      <c r="B18" s="4">
        <v>3286</v>
      </c>
      <c r="C18" s="4"/>
      <c r="D18" s="8"/>
    </row>
    <row r="19" spans="1:4" x14ac:dyDescent="0.25">
      <c r="A19" s="4">
        <v>1966</v>
      </c>
      <c r="B19" s="4">
        <v>3407</v>
      </c>
      <c r="C19" s="4"/>
      <c r="D19" s="8"/>
    </row>
    <row r="20" spans="1:4" x14ac:dyDescent="0.25">
      <c r="A20" s="4">
        <v>1967</v>
      </c>
      <c r="B20" s="4">
        <v>3523</v>
      </c>
      <c r="C20" s="4"/>
      <c r="D20" s="8"/>
    </row>
    <row r="21" spans="1:4" x14ac:dyDescent="0.25">
      <c r="A21" s="4">
        <v>1968</v>
      </c>
      <c r="B21" s="4">
        <v>3641</v>
      </c>
      <c r="C21" s="4"/>
      <c r="D21" s="8"/>
    </row>
    <row r="22" spans="1:4" x14ac:dyDescent="0.25">
      <c r="A22" s="4">
        <v>1969</v>
      </c>
      <c r="B22" s="4">
        <v>3762</v>
      </c>
      <c r="C22" s="4"/>
      <c r="D22" s="8"/>
    </row>
    <row r="23" spans="1:4" x14ac:dyDescent="0.25">
      <c r="A23" s="4">
        <v>1970</v>
      </c>
      <c r="B23" s="4">
        <v>3940</v>
      </c>
      <c r="C23" s="4"/>
      <c r="D23" s="8"/>
    </row>
    <row r="24" spans="1:4" x14ac:dyDescent="0.25">
      <c r="A24" s="4">
        <v>1971</v>
      </c>
      <c r="B24" s="4">
        <v>4073</v>
      </c>
      <c r="C24" s="4"/>
      <c r="D24" s="8"/>
    </row>
    <row r="25" spans="1:4" x14ac:dyDescent="0.25">
      <c r="A25" s="4">
        <v>1972</v>
      </c>
      <c r="B25" s="4">
        <v>4199</v>
      </c>
      <c r="C25" s="4"/>
      <c r="D25" s="8"/>
    </row>
    <row r="26" spans="1:4" x14ac:dyDescent="0.25">
      <c r="A26" s="4">
        <v>1973</v>
      </c>
      <c r="B26" s="4">
        <v>4317</v>
      </c>
      <c r="C26" s="4"/>
      <c r="D26" s="8"/>
    </row>
    <row r="27" spans="1:4" x14ac:dyDescent="0.25">
      <c r="A27" s="4">
        <v>1974</v>
      </c>
      <c r="B27" s="4">
        <v>4409</v>
      </c>
      <c r="C27" s="4"/>
      <c r="D27" s="8"/>
    </row>
    <row r="28" spans="1:4" x14ac:dyDescent="0.25">
      <c r="A28" s="4">
        <v>1975</v>
      </c>
      <c r="B28" s="4">
        <v>4492</v>
      </c>
      <c r="C28" s="4"/>
      <c r="D28" s="8"/>
    </row>
    <row r="29" spans="1:4" x14ac:dyDescent="0.25">
      <c r="A29" s="4">
        <v>1976</v>
      </c>
      <c r="B29" s="4">
        <v>4558</v>
      </c>
      <c r="C29" s="4"/>
      <c r="D29" s="8"/>
    </row>
    <row r="30" spans="1:4" x14ac:dyDescent="0.25">
      <c r="A30" s="4">
        <v>1977</v>
      </c>
      <c r="B30" s="4">
        <v>4628</v>
      </c>
      <c r="C30" s="4"/>
      <c r="D30" s="8"/>
    </row>
    <row r="31" spans="1:4" x14ac:dyDescent="0.25">
      <c r="A31" s="4">
        <v>1978</v>
      </c>
      <c r="B31" s="4">
        <v>4713</v>
      </c>
      <c r="C31" s="4"/>
      <c r="D31" s="8"/>
    </row>
    <row r="32" spans="1:4" x14ac:dyDescent="0.25">
      <c r="A32" s="4">
        <v>1979</v>
      </c>
      <c r="B32" s="4">
        <v>4803</v>
      </c>
      <c r="C32" s="4"/>
      <c r="D32" s="4"/>
    </row>
    <row r="33" spans="1:5" x14ac:dyDescent="0.25">
      <c r="A33" s="4">
        <v>1980</v>
      </c>
      <c r="B33" s="4">
        <v>4893</v>
      </c>
      <c r="C33" s="4"/>
      <c r="D33" s="8"/>
    </row>
    <row r="34" spans="1:5" x14ac:dyDescent="0.25">
      <c r="A34" s="4">
        <v>1981</v>
      </c>
      <c r="B34" s="4">
        <v>4957</v>
      </c>
      <c r="C34" s="4"/>
      <c r="D34" s="4"/>
      <c r="E34" s="3"/>
    </row>
    <row r="35" spans="1:5" x14ac:dyDescent="0.25">
      <c r="A35" s="4">
        <v>1982</v>
      </c>
      <c r="B35" s="4">
        <v>5016</v>
      </c>
      <c r="C35" s="4"/>
      <c r="D35" s="4"/>
      <c r="E35" s="3"/>
    </row>
    <row r="36" spans="1:5" x14ac:dyDescent="0.25">
      <c r="A36" s="4">
        <v>1983</v>
      </c>
      <c r="B36" s="4">
        <v>5056</v>
      </c>
      <c r="C36" s="4"/>
      <c r="D36" s="4"/>
      <c r="E36" s="3"/>
    </row>
    <row r="37" spans="1:5" x14ac:dyDescent="0.25">
      <c r="A37" s="4">
        <v>1984</v>
      </c>
      <c r="B37" s="4">
        <v>5103</v>
      </c>
      <c r="C37" s="4"/>
      <c r="D37" s="8"/>
    </row>
    <row r="38" spans="1:5" x14ac:dyDescent="0.25">
      <c r="A38" s="4">
        <v>1985</v>
      </c>
      <c r="B38" s="4">
        <v>5156</v>
      </c>
      <c r="C38" s="4"/>
      <c r="D38" s="8"/>
    </row>
    <row r="39" spans="1:5" x14ac:dyDescent="0.25">
      <c r="A39" s="4">
        <v>1986</v>
      </c>
      <c r="B39" s="4">
        <v>5217</v>
      </c>
      <c r="C39" s="4"/>
      <c r="D39" s="8"/>
    </row>
    <row r="40" spans="1:5" x14ac:dyDescent="0.25">
      <c r="A40" s="4">
        <v>1987</v>
      </c>
      <c r="B40" s="4">
        <v>5287</v>
      </c>
      <c r="C40" s="4"/>
      <c r="D40" s="8"/>
    </row>
    <row r="41" spans="1:5" x14ac:dyDescent="0.25">
      <c r="A41" s="4">
        <v>1988</v>
      </c>
      <c r="B41" s="4">
        <v>5377</v>
      </c>
      <c r="C41" s="4"/>
      <c r="D41" s="8"/>
    </row>
    <row r="42" spans="1:5" x14ac:dyDescent="0.25">
      <c r="A42" s="4">
        <v>1989</v>
      </c>
      <c r="B42" s="4">
        <v>5469</v>
      </c>
      <c r="C42" s="4"/>
      <c r="D42" s="8"/>
    </row>
    <row r="43" spans="1:5" x14ac:dyDescent="0.25">
      <c r="A43" s="4">
        <v>1990</v>
      </c>
      <c r="B43" s="4">
        <v>5661</v>
      </c>
      <c r="C43" s="4">
        <v>24.47</v>
      </c>
      <c r="D43" s="8"/>
    </row>
    <row r="44" spans="1:5" x14ac:dyDescent="0.25">
      <c r="A44" s="4">
        <v>1991</v>
      </c>
      <c r="B44" s="4">
        <v>5737</v>
      </c>
      <c r="C44" s="4">
        <v>21.19</v>
      </c>
      <c r="D44" s="8"/>
    </row>
    <row r="45" spans="1:5" x14ac:dyDescent="0.25">
      <c r="A45" s="4">
        <v>1992</v>
      </c>
      <c r="B45" s="4">
        <v>5794</v>
      </c>
      <c r="C45" s="4">
        <v>18.760000000000002</v>
      </c>
      <c r="D45" s="8">
        <f>(B44+B45)/2*C45/1000</f>
        <v>108.16078000000002</v>
      </c>
    </row>
    <row r="46" spans="1:5" x14ac:dyDescent="0.25">
      <c r="A46" s="4">
        <v>1993</v>
      </c>
      <c r="B46" s="4">
        <v>5825</v>
      </c>
      <c r="C46" s="4">
        <v>17.18</v>
      </c>
      <c r="D46" s="8">
        <f t="shared" ref="D46:D77" si="0">(B45+B46)/2*C46/1000</f>
        <v>99.807209999999998</v>
      </c>
    </row>
    <row r="47" spans="1:5" x14ac:dyDescent="0.25">
      <c r="A47" s="4">
        <v>1994</v>
      </c>
      <c r="B47" s="4">
        <v>5889</v>
      </c>
      <c r="C47" s="4">
        <v>16.7</v>
      </c>
      <c r="D47" s="8">
        <f t="shared" si="0"/>
        <v>97.811899999999994</v>
      </c>
    </row>
    <row r="48" spans="1:5" x14ac:dyDescent="0.25">
      <c r="A48" s="4">
        <v>1995</v>
      </c>
      <c r="B48" s="4">
        <v>5923</v>
      </c>
      <c r="C48" s="4">
        <v>16.07</v>
      </c>
      <c r="D48" s="8">
        <f t="shared" si="0"/>
        <v>94.909419999999997</v>
      </c>
    </row>
    <row r="49" spans="1:4" x14ac:dyDescent="0.25">
      <c r="A49" s="4">
        <v>1996</v>
      </c>
      <c r="B49" s="4">
        <v>5957</v>
      </c>
      <c r="C49" s="4">
        <v>16</v>
      </c>
      <c r="D49" s="8">
        <f t="shared" si="0"/>
        <v>95.04</v>
      </c>
    </row>
    <row r="50" spans="1:4" x14ac:dyDescent="0.25">
      <c r="A50" s="4">
        <v>1997</v>
      </c>
      <c r="B50" s="4">
        <v>5992</v>
      </c>
      <c r="C50" s="4">
        <v>15.8</v>
      </c>
      <c r="D50" s="8">
        <f t="shared" si="0"/>
        <v>94.397100000000009</v>
      </c>
    </row>
    <row r="51" spans="1:4" x14ac:dyDescent="0.25">
      <c r="A51" s="4">
        <v>1998</v>
      </c>
      <c r="B51" s="4">
        <v>6016</v>
      </c>
      <c r="C51" s="4">
        <v>15.74</v>
      </c>
      <c r="D51" s="8">
        <f t="shared" si="0"/>
        <v>94.502960000000002</v>
      </c>
    </row>
    <row r="52" spans="1:4" x14ac:dyDescent="0.25">
      <c r="A52" s="4">
        <v>1999</v>
      </c>
      <c r="B52" s="4">
        <v>6051</v>
      </c>
      <c r="C52" s="4">
        <v>15.1</v>
      </c>
      <c r="D52" s="8">
        <f t="shared" si="0"/>
        <v>91.10584999999999</v>
      </c>
    </row>
    <row r="53" spans="1:4" x14ac:dyDescent="0.25">
      <c r="A53" s="4">
        <v>2000</v>
      </c>
      <c r="B53" s="4">
        <v>6093</v>
      </c>
      <c r="C53" s="4">
        <v>13.4</v>
      </c>
      <c r="D53" s="8">
        <f t="shared" si="0"/>
        <v>81.364800000000002</v>
      </c>
    </row>
    <row r="54" spans="1:4" x14ac:dyDescent="0.25">
      <c r="A54" s="4">
        <v>2001</v>
      </c>
      <c r="B54" s="4">
        <v>6128</v>
      </c>
      <c r="C54" s="4">
        <v>12.46</v>
      </c>
      <c r="D54" s="8">
        <f t="shared" si="0"/>
        <v>76.136830000000003</v>
      </c>
    </row>
    <row r="55" spans="1:4" x14ac:dyDescent="0.25">
      <c r="A55" s="4">
        <v>2002</v>
      </c>
      <c r="B55" s="4">
        <v>6144</v>
      </c>
      <c r="C55" s="4">
        <v>11.2</v>
      </c>
      <c r="D55" s="8">
        <f t="shared" si="0"/>
        <v>68.723199999999991</v>
      </c>
    </row>
    <row r="56" spans="1:4" x14ac:dyDescent="0.25">
      <c r="A56" s="4">
        <v>2003</v>
      </c>
      <c r="B56" s="4">
        <v>6163</v>
      </c>
      <c r="C56" s="4">
        <v>11.15</v>
      </c>
      <c r="D56" s="8">
        <f t="shared" si="0"/>
        <v>68.611525000000015</v>
      </c>
    </row>
    <row r="57" spans="1:4" x14ac:dyDescent="0.25">
      <c r="A57" s="4">
        <v>2004</v>
      </c>
      <c r="B57" s="4">
        <v>6228</v>
      </c>
      <c r="C57" s="4">
        <v>11.62</v>
      </c>
      <c r="D57" s="8">
        <f t="shared" si="0"/>
        <v>71.991709999999998</v>
      </c>
    </row>
    <row r="58" spans="1:4" x14ac:dyDescent="0.25">
      <c r="A58" s="4">
        <v>2005</v>
      </c>
      <c r="B58" s="4">
        <v>6120</v>
      </c>
      <c r="C58" s="4">
        <v>12.43</v>
      </c>
      <c r="D58" s="8">
        <f t="shared" si="0"/>
        <v>76.742819999999995</v>
      </c>
    </row>
    <row r="59" spans="1:4" x14ac:dyDescent="0.25">
      <c r="A59" s="4">
        <v>2006</v>
      </c>
      <c r="B59" s="4">
        <v>6110</v>
      </c>
      <c r="C59" s="4">
        <v>12.6</v>
      </c>
      <c r="D59" s="8">
        <f t="shared" si="0"/>
        <v>77.049000000000007</v>
      </c>
    </row>
    <row r="60" spans="1:4" x14ac:dyDescent="0.25">
      <c r="A60" s="4">
        <v>2007</v>
      </c>
      <c r="B60" s="4">
        <v>6118</v>
      </c>
      <c r="C60" s="4">
        <v>12.75</v>
      </c>
      <c r="D60" s="8">
        <f t="shared" si="0"/>
        <v>77.953500000000005</v>
      </c>
    </row>
    <row r="61" spans="1:4" x14ac:dyDescent="0.25">
      <c r="A61" s="4">
        <v>2008</v>
      </c>
      <c r="B61" s="4">
        <v>6135</v>
      </c>
      <c r="C61" s="4">
        <v>13.05</v>
      </c>
      <c r="D61" s="8">
        <f t="shared" si="0"/>
        <v>79.950824999999995</v>
      </c>
    </row>
    <row r="62" spans="1:4" x14ac:dyDescent="0.25">
      <c r="A62" s="4">
        <v>2009</v>
      </c>
      <c r="B62" s="4">
        <v>6131</v>
      </c>
      <c r="C62" s="4">
        <v>13.07</v>
      </c>
      <c r="D62" s="8">
        <f t="shared" si="0"/>
        <v>80.15831</v>
      </c>
    </row>
    <row r="63" spans="1:4" x14ac:dyDescent="0.25">
      <c r="A63" s="4">
        <v>2010</v>
      </c>
      <c r="B63" s="4">
        <v>5957</v>
      </c>
      <c r="C63" s="4">
        <v>12.7</v>
      </c>
      <c r="D63" s="8">
        <f t="shared" si="0"/>
        <v>76.758800000000008</v>
      </c>
    </row>
    <row r="64" spans="1:4" x14ac:dyDescent="0.25">
      <c r="A64" s="4">
        <v>2011</v>
      </c>
      <c r="B64" s="4">
        <v>5968</v>
      </c>
      <c r="C64" s="4">
        <v>12.23</v>
      </c>
      <c r="D64" s="8">
        <f t="shared" si="0"/>
        <v>72.921374999999998</v>
      </c>
    </row>
    <row r="65" spans="1:4" x14ac:dyDescent="0.25">
      <c r="A65" s="4">
        <v>2012</v>
      </c>
      <c r="B65" s="4">
        <v>5978</v>
      </c>
      <c r="C65" s="4">
        <v>13</v>
      </c>
      <c r="D65" s="8">
        <f t="shared" si="0"/>
        <v>77.649000000000001</v>
      </c>
    </row>
    <row r="66" spans="1:4" x14ac:dyDescent="0.25">
      <c r="A66" s="4">
        <v>2013</v>
      </c>
      <c r="B66" s="4">
        <v>5988</v>
      </c>
      <c r="C66" s="4">
        <v>12.88</v>
      </c>
      <c r="D66" s="8">
        <f t="shared" si="0"/>
        <v>77.061040000000006</v>
      </c>
    </row>
    <row r="67" spans="1:4" x14ac:dyDescent="0.25">
      <c r="A67" s="4">
        <v>2014</v>
      </c>
      <c r="B67" s="4">
        <v>5997</v>
      </c>
      <c r="C67" s="4">
        <v>12.86</v>
      </c>
      <c r="D67" s="8">
        <f t="shared" si="0"/>
        <v>77.063550000000006</v>
      </c>
    </row>
    <row r="68" spans="1:4" x14ac:dyDescent="0.25">
      <c r="A68" s="4">
        <v>2015</v>
      </c>
      <c r="B68" s="4">
        <v>6011</v>
      </c>
      <c r="C68" s="4">
        <v>12.92</v>
      </c>
      <c r="D68" s="8">
        <f t="shared" si="0"/>
        <v>77.571679999999986</v>
      </c>
    </row>
    <row r="69" spans="1:4" x14ac:dyDescent="0.25">
      <c r="A69" s="4">
        <v>2016</v>
      </c>
      <c r="B69" s="4">
        <v>6033</v>
      </c>
      <c r="C69" s="4">
        <v>13.02</v>
      </c>
      <c r="D69" s="8">
        <f t="shared" si="0"/>
        <v>78.406440000000003</v>
      </c>
    </row>
    <row r="70" spans="1:4" x14ac:dyDescent="0.25">
      <c r="A70" s="4">
        <v>2017</v>
      </c>
      <c r="B70" s="4">
        <v>6057</v>
      </c>
      <c r="C70" s="4">
        <v>14.07</v>
      </c>
      <c r="D70" s="8">
        <f t="shared" si="0"/>
        <v>85.053150000000002</v>
      </c>
    </row>
    <row r="71" spans="1:4" x14ac:dyDescent="0.25">
      <c r="A71" s="4">
        <v>2018</v>
      </c>
      <c r="B71" s="4">
        <v>6076</v>
      </c>
      <c r="C71" s="4">
        <v>12.41</v>
      </c>
      <c r="D71" s="8">
        <f t="shared" si="0"/>
        <v>75.285264999999995</v>
      </c>
    </row>
    <row r="72" spans="1:4" x14ac:dyDescent="0.25">
      <c r="A72" s="4">
        <v>2019</v>
      </c>
      <c r="B72" s="4">
        <v>6092</v>
      </c>
      <c r="C72" s="4">
        <v>12.03</v>
      </c>
      <c r="D72" s="8">
        <f t="shared" si="0"/>
        <v>73.190519999999992</v>
      </c>
    </row>
    <row r="73" spans="1:4" x14ac:dyDescent="0.25">
      <c r="A73" s="4">
        <v>2020</v>
      </c>
      <c r="B73" s="4">
        <v>6105</v>
      </c>
      <c r="C73" s="4">
        <v>9.4499999999999993</v>
      </c>
      <c r="D73" s="8">
        <f t="shared" si="0"/>
        <v>57.630824999999994</v>
      </c>
    </row>
    <row r="74" spans="1:4" x14ac:dyDescent="0.25">
      <c r="A74" s="4">
        <v>2021</v>
      </c>
      <c r="B74" s="4">
        <v>6113</v>
      </c>
      <c r="C74" s="4">
        <v>8.0500000000000007</v>
      </c>
      <c r="D74" s="8">
        <f t="shared" si="0"/>
        <v>49.177450000000007</v>
      </c>
    </row>
    <row r="75" spans="1:4" x14ac:dyDescent="0.25">
      <c r="A75" s="4">
        <v>2022</v>
      </c>
      <c r="B75" s="4">
        <v>6127</v>
      </c>
      <c r="C75" s="4">
        <v>7.16</v>
      </c>
      <c r="D75" s="8">
        <f t="shared" si="0"/>
        <v>43.819200000000002</v>
      </c>
    </row>
    <row r="76" spans="1:4" x14ac:dyDescent="0.25">
      <c r="A76" s="4">
        <v>2023</v>
      </c>
      <c r="B76" s="4">
        <v>6121</v>
      </c>
      <c r="C76" s="4">
        <v>6.45</v>
      </c>
      <c r="D76" s="8">
        <f t="shared" si="0"/>
        <v>39.4998</v>
      </c>
    </row>
    <row r="77" spans="1:4" x14ac:dyDescent="0.25">
      <c r="A77" s="4">
        <v>2024</v>
      </c>
      <c r="B77" s="4">
        <v>6123</v>
      </c>
      <c r="C77" s="4">
        <v>6.17</v>
      </c>
      <c r="D77" s="8">
        <f t="shared" si="0"/>
        <v>37.772739999999999</v>
      </c>
    </row>
    <row r="78" spans="1:4" x14ac:dyDescent="0.25">
      <c r="A78" s="4">
        <v>2025</v>
      </c>
      <c r="B78" s="4">
        <v>6082</v>
      </c>
      <c r="C78" s="4">
        <v>4.83</v>
      </c>
      <c r="D78" s="4">
        <v>29.5</v>
      </c>
    </row>
    <row r="79" spans="1:4" ht="33.6" customHeight="1" x14ac:dyDescent="0.25">
      <c r="A79" s="5" t="s">
        <v>1</v>
      </c>
      <c r="B79" s="5"/>
      <c r="C79" s="5"/>
      <c r="D79" s="5"/>
    </row>
    <row r="81" spans="1:4" ht="172.2" customHeight="1" x14ac:dyDescent="0.25">
      <c r="A81" s="6" t="s">
        <v>6</v>
      </c>
      <c r="B81" s="6"/>
      <c r="C81" s="6"/>
      <c r="D81" s="6"/>
    </row>
    <row r="82" spans="1:4" x14ac:dyDescent="0.25">
      <c r="A82" s="7" t="s">
        <v>0</v>
      </c>
      <c r="B82" s="7"/>
      <c r="C82" s="7"/>
      <c r="D82" s="7"/>
    </row>
  </sheetData>
  <mergeCells count="3">
    <mergeCell ref="A79:D79"/>
    <mergeCell ref="A81:D81"/>
    <mergeCell ref="A82:D8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2026-09-26T10:08:15Z</dcterms:created>
  <dcterms:modified xsi:type="dcterms:W3CDTF">2026-09-29T07:17:45Z</dcterms:modified>
</cp:coreProperties>
</file>