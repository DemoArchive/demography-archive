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江西省\"/>
    </mc:Choice>
  </mc:AlternateContent>
  <xr:revisionPtr revIDLastSave="0" documentId="13_ncr:1_{C855B250-D422-48F5-A03C-A6FC2963E0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D41" i="1"/>
  <c r="D40" i="1"/>
  <c r="D39" i="1"/>
  <c r="D38" i="1"/>
  <c r="D37" i="1"/>
  <c r="D36" i="1"/>
  <c r="D35" i="1"/>
  <c r="D34" i="1"/>
  <c r="D20" i="1"/>
  <c r="D19" i="1"/>
  <c r="D17" i="1"/>
  <c r="D10" i="1"/>
  <c r="D9" i="1"/>
  <c r="D8" i="1"/>
  <c r="D7" i="1"/>
  <c r="D6" i="1"/>
  <c r="D5" i="1"/>
  <c r="D4" i="1"/>
  <c r="D3" i="1"/>
  <c r="D43" i="1"/>
  <c r="D27" i="1"/>
  <c r="D26" i="1"/>
  <c r="D25" i="1"/>
  <c r="D24" i="1"/>
  <c r="D23" i="1"/>
  <c r="D22" i="1"/>
  <c r="D11" i="1"/>
  <c r="D12" i="1"/>
  <c r="D13" i="1"/>
  <c r="D14" i="1"/>
  <c r="D15" i="1"/>
  <c r="D16" i="1"/>
  <c r="D21" i="1"/>
  <c r="D28" i="1"/>
  <c r="D29" i="1"/>
  <c r="D30" i="1"/>
  <c r="D31" i="1"/>
  <c r="D32" i="1"/>
  <c r="D44" i="1"/>
  <c r="D45" i="1"/>
  <c r="D46" i="1"/>
  <c r="D47" i="1"/>
  <c r="D48" i="1"/>
  <c r="D18" i="1" l="1"/>
  <c r="D33" i="1"/>
</calcChain>
</file>

<file path=xl/sharedStrings.xml><?xml version="1.0" encoding="utf-8"?>
<sst xmlns="http://schemas.openxmlformats.org/spreadsheetml/2006/main" count="7" uniqueCount="7">
  <si>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</si>
  <si>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</si>
  <si>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</si>
  <si>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</si>
  <si>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sz val="10"/>
        <rFont val="楷体"/>
        <family val="3"/>
        <charset val="134"/>
      </rPr>
      <t>注：</t>
    </r>
    <r>
      <rPr>
        <sz val="10"/>
        <rFont val="Times New Roman"/>
        <family val="1"/>
      </rPr>
      <t>2011-2019</t>
    </r>
    <r>
      <rPr>
        <sz val="10"/>
        <rFont val="楷体"/>
        <family val="3"/>
        <charset val="134"/>
      </rPr>
      <t>年的年平均人口数据为修订后的数据。</t>
    </r>
  </si>
  <si>
    <r>
      <rPr>
        <b/>
        <sz val="12"/>
        <rFont val="楷体"/>
        <family val="3"/>
        <charset val="134"/>
      </rPr>
      <t>表格中</t>
    </r>
    <r>
      <rPr>
        <b/>
        <sz val="12"/>
        <rFont val="微软雅黑"/>
        <family val="1"/>
        <charset val="134"/>
      </rPr>
      <t>“</t>
    </r>
    <r>
      <rPr>
        <b/>
        <sz val="12"/>
        <rFont val="楷体"/>
        <family val="3"/>
        <charset val="134"/>
      </rPr>
      <t>总人口</t>
    </r>
    <r>
      <rPr>
        <b/>
        <sz val="12"/>
        <rFont val="微软雅黑"/>
        <family val="1"/>
        <charset val="134"/>
      </rPr>
      <t>”</t>
    </r>
    <r>
      <rPr>
        <b/>
        <sz val="12"/>
        <rFont val="楷体"/>
        <family val="3"/>
        <charset val="134"/>
      </rPr>
      <t>数据来源于《2025年江西省统计年鉴》中</t>
    </r>
    <r>
      <rPr>
        <b/>
        <sz val="12"/>
        <rFont val="微软雅黑"/>
        <family val="1"/>
        <charset val="134"/>
      </rPr>
      <t>“</t>
    </r>
    <r>
      <rPr>
        <b/>
        <sz val="12"/>
        <rFont val="楷体"/>
        <family val="3"/>
        <charset val="134"/>
      </rPr>
      <t>年平均人口</t>
    </r>
    <r>
      <rPr>
        <b/>
        <sz val="12"/>
        <rFont val="微软雅黑"/>
        <family val="1"/>
        <charset val="134"/>
      </rPr>
      <t>”</t>
    </r>
    <r>
      <rPr>
        <b/>
        <sz val="12"/>
        <rFont val="楷体"/>
        <family val="3"/>
        <charset val="134"/>
      </rPr>
      <t>，</t>
    </r>
    <r>
      <rPr>
        <b/>
        <sz val="12"/>
        <rFont val="微软雅黑"/>
        <family val="1"/>
        <charset val="134"/>
      </rPr>
      <t>“</t>
    </r>
    <r>
      <rPr>
        <b/>
        <sz val="12"/>
        <rFont val="楷体"/>
        <family val="3"/>
        <charset val="134"/>
      </rPr>
      <t>出生率</t>
    </r>
    <r>
      <rPr>
        <b/>
        <sz val="12"/>
        <rFont val="微软雅黑"/>
        <family val="1"/>
        <charset val="134"/>
      </rPr>
      <t>”</t>
    </r>
    <r>
      <rPr>
        <b/>
        <sz val="12"/>
        <rFont val="楷体"/>
        <family val="3"/>
        <charset val="134"/>
      </rPr>
      <t>来源于原始资料中对应数据，</t>
    </r>
    <r>
      <rPr>
        <b/>
        <sz val="12"/>
        <rFont val="微软雅黑"/>
        <family val="1"/>
        <charset val="134"/>
      </rPr>
      <t>“</t>
    </r>
    <r>
      <rPr>
        <b/>
        <sz val="12"/>
        <rFont val="楷体"/>
        <family val="3"/>
        <charset val="134"/>
      </rPr>
      <t>出生人口</t>
    </r>
    <r>
      <rPr>
        <b/>
        <sz val="12"/>
        <rFont val="微软雅黑"/>
        <family val="1"/>
        <charset val="134"/>
      </rPr>
      <t>”</t>
    </r>
    <r>
      <rPr>
        <b/>
        <sz val="12"/>
        <rFont val="楷体"/>
        <family val="3"/>
        <charset val="134"/>
      </rPr>
      <t>通过公式计算得出。</t>
    </r>
    <r>
      <rPr>
        <b/>
        <sz val="12"/>
        <rFont val="Times New Roman"/>
        <family val="1"/>
      </rPr>
      <t>2025</t>
    </r>
    <r>
      <rPr>
        <b/>
        <sz val="12"/>
        <rFont val="楷体"/>
        <family val="3"/>
        <charset val="134"/>
      </rPr>
      <t>年数据来源于《江西省国民经济和社会发展统计公报》，其中</t>
    </r>
    <r>
      <rPr>
        <b/>
        <sz val="12"/>
        <rFont val="微软雅黑"/>
        <family val="1"/>
        <charset val="134"/>
      </rPr>
      <t>“</t>
    </r>
    <r>
      <rPr>
        <b/>
        <sz val="12"/>
        <rFont val="楷体"/>
        <family val="3"/>
        <charset val="134"/>
      </rPr>
      <t>总人口</t>
    </r>
    <r>
      <rPr>
        <b/>
        <sz val="12"/>
        <rFont val="微软雅黑"/>
        <family val="1"/>
        <charset val="134"/>
      </rPr>
      <t>”</t>
    </r>
    <r>
      <rPr>
        <b/>
        <sz val="12"/>
        <rFont val="楷体"/>
        <family val="3"/>
        <charset val="134"/>
      </rPr>
      <t>数据来源于原始资料中</t>
    </r>
    <r>
      <rPr>
        <b/>
        <sz val="12"/>
        <rFont val="微软雅黑"/>
        <family val="1"/>
        <charset val="134"/>
      </rPr>
      <t>“</t>
    </r>
    <r>
      <rPr>
        <b/>
        <sz val="12"/>
        <rFont val="楷体"/>
        <family val="3"/>
        <charset val="134"/>
      </rPr>
      <t>年末常住总人口</t>
    </r>
    <r>
      <rPr>
        <b/>
        <sz val="12"/>
        <rFont val="微软雅黑"/>
        <family val="1"/>
        <charset val="134"/>
      </rPr>
      <t>”</t>
    </r>
    <r>
      <rPr>
        <b/>
        <sz val="12"/>
        <rFont val="楷体"/>
        <family val="3"/>
        <charset val="134"/>
      </rPr>
      <t>，</t>
    </r>
    <r>
      <rPr>
        <b/>
        <sz val="12"/>
        <rFont val="微软雅黑"/>
        <family val="1"/>
        <charset val="134"/>
      </rPr>
      <t>“</t>
    </r>
    <r>
      <rPr>
        <b/>
        <sz val="12"/>
        <rFont val="楷体"/>
        <family val="3"/>
        <charset val="134"/>
      </rPr>
      <t>出生率</t>
    </r>
    <r>
      <rPr>
        <b/>
        <sz val="12"/>
        <rFont val="微软雅黑"/>
        <family val="1"/>
        <charset val="134"/>
      </rPr>
      <t>”</t>
    </r>
    <r>
      <rPr>
        <b/>
        <sz val="12"/>
        <rFont val="楷体"/>
        <family val="3"/>
        <charset val="134"/>
      </rPr>
      <t>和</t>
    </r>
    <r>
      <rPr>
        <b/>
        <sz val="12"/>
        <rFont val="微软雅黑"/>
        <family val="1"/>
        <charset val="134"/>
      </rPr>
      <t>“</t>
    </r>
    <r>
      <rPr>
        <b/>
        <sz val="12"/>
        <rFont val="楷体"/>
        <family val="3"/>
        <charset val="134"/>
      </rPr>
      <t>出生人口</t>
    </r>
    <r>
      <rPr>
        <b/>
        <sz val="12"/>
        <rFont val="微软雅黑"/>
        <family val="1"/>
        <charset val="134"/>
      </rPr>
      <t>”</t>
    </r>
    <r>
      <rPr>
        <b/>
        <sz val="12"/>
        <rFont val="楷体"/>
        <family val="3"/>
        <charset val="134"/>
      </rPr>
      <t>来源于原始资料中对应数据</t>
    </r>
    <r>
      <rPr>
        <b/>
        <sz val="12"/>
        <rFont val="宋体"/>
        <family val="3"/>
        <charset val="134"/>
      </rPr>
      <t>。</t>
    </r>
    <phoneticPr fontId="3" type="noConversion"/>
  </si>
  <si>
    <r>
      <rPr>
        <b/>
        <sz val="12"/>
        <rFont val="楷体"/>
        <family val="3"/>
        <charset val="134"/>
      </rPr>
      <t>出生人口计算公式：出生人口</t>
    </r>
    <r>
      <rPr>
        <b/>
        <sz val="12"/>
        <rFont val="Times New Roman"/>
        <family val="1"/>
      </rPr>
      <t xml:space="preserve"> = [</t>
    </r>
    <r>
      <rPr>
        <b/>
        <sz val="12"/>
        <rFont val="楷体"/>
        <family val="3"/>
        <charset val="134"/>
      </rPr>
      <t>（上年总人口数</t>
    </r>
    <r>
      <rPr>
        <b/>
        <sz val="12"/>
        <rFont val="Times New Roman"/>
        <family val="1"/>
      </rPr>
      <t>+</t>
    </r>
    <r>
      <rPr>
        <b/>
        <sz val="12"/>
        <rFont val="楷体"/>
        <family val="3"/>
        <charset val="134"/>
      </rPr>
      <t>当年总人口数）</t>
    </r>
    <r>
      <rPr>
        <b/>
        <sz val="12"/>
        <rFont val="Times New Roman"/>
        <family val="1"/>
      </rPr>
      <t>/2]×</t>
    </r>
    <r>
      <rPr>
        <b/>
        <sz val="12"/>
        <rFont val="楷体"/>
        <family val="3"/>
        <charset val="134"/>
      </rPr>
      <t>出生率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</si>
</sst>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楷体"/>
      <family val="3"/>
      <charset val="134"/>
    </font>
    <font>
      <sz val="10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b/>
      <sz val="12"/>
      <name val="Times New Roman"/>
      <family val="1"/>
    </font>
    <font>
      <b/>
      <sz val="12"/>
      <name val="楷体"/>
      <family val="3"/>
      <charset val="134"/>
    </font>
    <font>
      <b/>
      <sz val="12"/>
      <name val="微软雅黑"/>
      <family val="1"/>
      <charset val="134"/>
    </font>
    <font>
      <b/>
      <sz val="12"/>
      <name val="Times New Roman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9" fillId="0" borderId="0" xfId="0" applyFont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176" fontId="8" fillId="0" borderId="1" xfId="0" applyNumberFormat="1" applyFont="1" applyBorder="1" applyAlignment="1">
      <alignment horizontal="right" vertical="center" wrapText="1"/>
    </xf>
    <xf numFmtId="2" fontId="8" fillId="0" borderId="1" xfId="0" applyNumberFormat="1" applyFont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40" workbookViewId="0">
      <selection activeCell="A53" sqref="A53:D53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6" t="s">
        <v>0</v>
      </c>
      <c r="B1" s="6" t="s">
        <v>2</v>
      </c>
      <c r="C1" s="6" t="s">
        <v>1</v>
      </c>
      <c r="D1" s="7" t="s">
        <v>3</v>
      </c>
    </row>
    <row r="2" spans="1:4" ht="18" x14ac:dyDescent="0.25">
      <c r="A2" s="10">
        <v>1978</v>
      </c>
      <c r="B2" s="8">
        <v>3150.4121</v>
      </c>
      <c r="C2" s="9">
        <v>27.01</v>
      </c>
      <c r="D2" s="6"/>
    </row>
    <row r="3" spans="1:4" ht="18" x14ac:dyDescent="0.25">
      <c r="A3" s="11">
        <v>1979</v>
      </c>
      <c r="B3" s="8">
        <v>3205.8989999999999</v>
      </c>
      <c r="C3" s="9">
        <v>20.97</v>
      </c>
      <c r="D3" s="7">
        <f>(B2+B3)/2*C3/1000</f>
        <v>66.645921883499994</v>
      </c>
    </row>
    <row r="4" spans="1:4" ht="18" x14ac:dyDescent="0.25">
      <c r="A4" s="10">
        <v>1980</v>
      </c>
      <c r="B4" s="8">
        <v>3249.5868999999998</v>
      </c>
      <c r="C4" s="9">
        <v>18.57</v>
      </c>
      <c r="D4" s="7">
        <f t="shared" ref="D4:D48" si="0">(B3+B4)/2*C4/1000</f>
        <v>59.939186581499996</v>
      </c>
    </row>
    <row r="5" spans="1:4" ht="18" x14ac:dyDescent="0.25">
      <c r="A5" s="11">
        <v>1981</v>
      </c>
      <c r="B5" s="8">
        <v>3287.0596999999998</v>
      </c>
      <c r="C5" s="9">
        <v>20.420000000000002</v>
      </c>
      <c r="D5" s="7">
        <f t="shared" si="0"/>
        <v>66.739161786000011</v>
      </c>
    </row>
    <row r="6" spans="1:4" ht="18" x14ac:dyDescent="0.25">
      <c r="A6" s="11">
        <v>1982</v>
      </c>
      <c r="B6" s="8">
        <v>3326.136</v>
      </c>
      <c r="C6" s="9">
        <v>19.18</v>
      </c>
      <c r="D6" s="7">
        <f t="shared" si="0"/>
        <v>63.420546762999997</v>
      </c>
    </row>
    <row r="7" spans="1:4" ht="18" x14ac:dyDescent="0.25">
      <c r="A7" s="11">
        <v>1983</v>
      </c>
      <c r="B7" s="8">
        <v>3371.4259000000002</v>
      </c>
      <c r="C7" s="9">
        <v>21.92</v>
      </c>
      <c r="D7" s="7">
        <f t="shared" si="0"/>
        <v>73.405278424000016</v>
      </c>
    </row>
    <row r="8" spans="1:4" ht="18" x14ac:dyDescent="0.25">
      <c r="A8" s="11">
        <v>1984</v>
      </c>
      <c r="B8" s="8">
        <v>3426.1956</v>
      </c>
      <c r="C8" s="9">
        <v>25.3</v>
      </c>
      <c r="D8" s="7">
        <f t="shared" si="0"/>
        <v>85.989911975000012</v>
      </c>
    </row>
    <row r="9" spans="1:4" ht="18" x14ac:dyDescent="0.25">
      <c r="A9" s="10">
        <v>1985</v>
      </c>
      <c r="B9" s="8">
        <v>3483.8425000000002</v>
      </c>
      <c r="C9" s="9">
        <v>20.29</v>
      </c>
      <c r="D9" s="7">
        <f t="shared" si="0"/>
        <v>70.102336524499989</v>
      </c>
    </row>
    <row r="10" spans="1:4" ht="18" x14ac:dyDescent="0.25">
      <c r="A10" s="11">
        <v>1986</v>
      </c>
      <c r="B10" s="8">
        <v>3542.7804000000001</v>
      </c>
      <c r="C10" s="9">
        <v>24.15</v>
      </c>
      <c r="D10" s="7">
        <f t="shared" si="0"/>
        <v>84.846471517500007</v>
      </c>
    </row>
    <row r="11" spans="1:4" ht="18" x14ac:dyDescent="0.25">
      <c r="A11" s="11">
        <v>1987</v>
      </c>
      <c r="B11" s="8">
        <v>3604.0374000000002</v>
      </c>
      <c r="C11" s="9">
        <v>22.92</v>
      </c>
      <c r="D11" s="7">
        <f t="shared" si="0"/>
        <v>81.902531988000021</v>
      </c>
    </row>
    <row r="12" spans="1:4" ht="18" x14ac:dyDescent="0.25">
      <c r="A12" s="11">
        <v>1988</v>
      </c>
      <c r="B12" s="8">
        <v>3658.0961000000002</v>
      </c>
      <c r="C12" s="9">
        <v>19.899999999999999</v>
      </c>
      <c r="D12" s="7">
        <f t="shared" si="0"/>
        <v>72.25822832499999</v>
      </c>
    </row>
    <row r="13" spans="1:4" ht="18" x14ac:dyDescent="0.25">
      <c r="A13" s="11">
        <v>1989</v>
      </c>
      <c r="B13" s="8">
        <v>3715.0502999999999</v>
      </c>
      <c r="C13" s="9">
        <v>23.04</v>
      </c>
      <c r="D13" s="7">
        <f t="shared" si="0"/>
        <v>84.938646527999992</v>
      </c>
    </row>
    <row r="14" spans="1:4" ht="18" x14ac:dyDescent="0.25">
      <c r="A14" s="10">
        <v>1990</v>
      </c>
      <c r="B14" s="8">
        <v>3778.4306999999999</v>
      </c>
      <c r="C14" s="9">
        <v>24.59</v>
      </c>
      <c r="D14" s="7">
        <f t="shared" si="0"/>
        <v>92.132348895000007</v>
      </c>
    </row>
    <row r="15" spans="1:4" ht="18" x14ac:dyDescent="0.25">
      <c r="A15" s="10">
        <v>1991</v>
      </c>
      <c r="B15" s="8">
        <v>3837.6396</v>
      </c>
      <c r="C15" s="9">
        <v>21.2</v>
      </c>
      <c r="D15" s="7">
        <f t="shared" si="0"/>
        <v>80.730345179999986</v>
      </c>
    </row>
    <row r="16" spans="1:4" ht="18" x14ac:dyDescent="0.25">
      <c r="A16" s="10">
        <v>1992</v>
      </c>
      <c r="B16" s="8">
        <v>3888.8651</v>
      </c>
      <c r="C16" s="9">
        <v>19.53</v>
      </c>
      <c r="D16" s="7">
        <f t="shared" si="0"/>
        <v>75.449318395500001</v>
      </c>
    </row>
    <row r="17" spans="1:4" ht="18" x14ac:dyDescent="0.25">
      <c r="A17" s="10">
        <v>1993</v>
      </c>
      <c r="B17" s="8">
        <v>3939.5666000000001</v>
      </c>
      <c r="C17" s="9">
        <v>20.329999999999998</v>
      </c>
      <c r="D17" s="7">
        <f t="shared" si="0"/>
        <v>79.576008230499994</v>
      </c>
    </row>
    <row r="18" spans="1:4" ht="18" x14ac:dyDescent="0.25">
      <c r="A18" s="10">
        <v>1994</v>
      </c>
      <c r="B18" s="8">
        <v>3990.7431999999999</v>
      </c>
      <c r="C18" s="9">
        <v>19.38</v>
      </c>
      <c r="D18" s="7">
        <f t="shared" si="0"/>
        <v>76.844701961999988</v>
      </c>
    </row>
    <row r="19" spans="1:4" ht="18" x14ac:dyDescent="0.25">
      <c r="A19" s="10">
        <v>1995</v>
      </c>
      <c r="B19" s="8">
        <v>4038.9933000000001</v>
      </c>
      <c r="C19" s="9">
        <v>18.940000000000001</v>
      </c>
      <c r="D19" s="7">
        <f t="shared" si="0"/>
        <v>76.041604655</v>
      </c>
    </row>
    <row r="20" spans="1:4" ht="18" x14ac:dyDescent="0.25">
      <c r="A20" s="10">
        <v>1996</v>
      </c>
      <c r="B20" s="8">
        <v>4084.002</v>
      </c>
      <c r="C20" s="9">
        <v>17.53</v>
      </c>
      <c r="D20" s="7">
        <f t="shared" si="0"/>
        <v>71.19805380450002</v>
      </c>
    </row>
    <row r="21" spans="1:4" ht="18" x14ac:dyDescent="0.25">
      <c r="A21" s="10">
        <v>1997</v>
      </c>
      <c r="B21" s="8">
        <v>4127.8986999999997</v>
      </c>
      <c r="C21" s="9">
        <v>17.43</v>
      </c>
      <c r="D21" s="7">
        <f t="shared" si="0"/>
        <v>71.566714600499992</v>
      </c>
    </row>
    <row r="22" spans="1:4" ht="18" x14ac:dyDescent="0.25">
      <c r="A22" s="10">
        <v>1998</v>
      </c>
      <c r="B22" s="8">
        <v>4170.7705999999998</v>
      </c>
      <c r="C22" s="9">
        <v>16.850000000000001</v>
      </c>
      <c r="D22" s="7">
        <f t="shared" si="0"/>
        <v>69.916288852500003</v>
      </c>
    </row>
    <row r="23" spans="1:4" ht="18" x14ac:dyDescent="0.25">
      <c r="A23" s="10">
        <v>1999</v>
      </c>
      <c r="B23" s="8">
        <v>4211.1908000000003</v>
      </c>
      <c r="C23" s="9">
        <v>16.510000000000002</v>
      </c>
      <c r="D23" s="7">
        <f t="shared" si="0"/>
        <v>69.193091357000014</v>
      </c>
    </row>
    <row r="24" spans="1:4" ht="18" x14ac:dyDescent="0.25">
      <c r="A24" s="10">
        <v>2000</v>
      </c>
      <c r="B24" s="8">
        <v>4128.9733999999999</v>
      </c>
      <c r="C24" s="9">
        <v>15.55</v>
      </c>
      <c r="D24" s="7">
        <f t="shared" si="0"/>
        <v>64.84477665499999</v>
      </c>
    </row>
    <row r="25" spans="1:4" ht="18" x14ac:dyDescent="0.25">
      <c r="A25" s="10">
        <v>2001</v>
      </c>
      <c r="B25" s="8">
        <v>4167.1562000000004</v>
      </c>
      <c r="C25" s="9">
        <v>15.44</v>
      </c>
      <c r="D25" s="7">
        <f t="shared" si="0"/>
        <v>64.046120512000002</v>
      </c>
    </row>
    <row r="26" spans="1:4" ht="18" x14ac:dyDescent="0.25">
      <c r="A26" s="10">
        <v>2002</v>
      </c>
      <c r="B26" s="8">
        <v>4204.0974999999999</v>
      </c>
      <c r="C26" s="9">
        <v>14.74</v>
      </c>
      <c r="D26" s="7">
        <f t="shared" si="0"/>
        <v>61.696139769000006</v>
      </c>
    </row>
    <row r="27" spans="1:4" ht="18" x14ac:dyDescent="0.25">
      <c r="A27" s="10">
        <v>2003</v>
      </c>
      <c r="B27" s="8">
        <v>4238.3263999999999</v>
      </c>
      <c r="C27" s="9">
        <v>14.07</v>
      </c>
      <c r="D27" s="7">
        <f t="shared" si="0"/>
        <v>59.392452136499998</v>
      </c>
    </row>
    <row r="28" spans="1:4" ht="18" x14ac:dyDescent="0.25">
      <c r="A28" s="10">
        <v>2004</v>
      </c>
      <c r="B28" s="8">
        <v>4268.8960999999999</v>
      </c>
      <c r="C28" s="9">
        <v>13.61</v>
      </c>
      <c r="D28" s="7">
        <f t="shared" si="0"/>
        <v>57.891649112499998</v>
      </c>
    </row>
    <row r="29" spans="1:4" ht="18" x14ac:dyDescent="0.25">
      <c r="A29" s="10">
        <v>2005</v>
      </c>
      <c r="B29" s="8">
        <v>4297.4053000000004</v>
      </c>
      <c r="C29" s="9">
        <v>13.79</v>
      </c>
      <c r="D29" s="7">
        <f t="shared" si="0"/>
        <v>59.064648153</v>
      </c>
    </row>
    <row r="30" spans="1:4" ht="18" x14ac:dyDescent="0.25">
      <c r="A30" s="10">
        <v>2006</v>
      </c>
      <c r="B30" s="8">
        <v>4325.1863000000003</v>
      </c>
      <c r="C30" s="9">
        <v>13.8</v>
      </c>
      <c r="D30" s="7">
        <f t="shared" si="0"/>
        <v>59.495882040000005</v>
      </c>
    </row>
    <row r="31" spans="1:4" ht="18" x14ac:dyDescent="0.25">
      <c r="A31" s="10">
        <v>2007</v>
      </c>
      <c r="B31" s="8">
        <v>4353.7705999999998</v>
      </c>
      <c r="C31" s="9">
        <v>13.86</v>
      </c>
      <c r="D31" s="7">
        <f t="shared" si="0"/>
        <v>60.145171317000006</v>
      </c>
    </row>
    <row r="32" spans="1:4" ht="18" x14ac:dyDescent="0.25">
      <c r="A32" s="11">
        <v>2008</v>
      </c>
      <c r="B32" s="8">
        <v>4384.2582000000002</v>
      </c>
      <c r="C32" s="9">
        <v>13.92</v>
      </c>
      <c r="D32" s="7">
        <f t="shared" si="0"/>
        <v>60.816680448</v>
      </c>
    </row>
    <row r="33" spans="1:4" ht="18" x14ac:dyDescent="0.25">
      <c r="A33" s="11">
        <v>2009</v>
      </c>
      <c r="B33" s="8">
        <v>4416.1310000000003</v>
      </c>
      <c r="C33" s="9">
        <v>13.87</v>
      </c>
      <c r="D33" s="7">
        <f t="shared" si="0"/>
        <v>61.030699102000007</v>
      </c>
    </row>
    <row r="34" spans="1:4" ht="18" x14ac:dyDescent="0.25">
      <c r="A34" s="11">
        <v>2010</v>
      </c>
      <c r="B34" s="8">
        <v>4447.2034999999996</v>
      </c>
      <c r="C34" s="9">
        <v>13.72</v>
      </c>
      <c r="D34" s="7">
        <f t="shared" si="0"/>
        <v>60.802474670000009</v>
      </c>
    </row>
    <row r="35" spans="1:4" ht="18" x14ac:dyDescent="0.25">
      <c r="A35" s="11">
        <v>2011</v>
      </c>
      <c r="B35" s="8">
        <v>4468.0896000000002</v>
      </c>
      <c r="C35" s="9">
        <v>13.48</v>
      </c>
      <c r="D35" s="7">
        <f t="shared" si="0"/>
        <v>60.089075493999999</v>
      </c>
    </row>
    <row r="36" spans="1:4" ht="18" x14ac:dyDescent="0.25">
      <c r="A36" s="11">
        <v>2012</v>
      </c>
      <c r="B36" s="8">
        <v>4474.7118499999997</v>
      </c>
      <c r="C36" s="9">
        <v>13.46</v>
      </c>
      <c r="D36" s="7">
        <f t="shared" si="0"/>
        <v>60.185053758499997</v>
      </c>
    </row>
    <row r="37" spans="1:4" ht="18" x14ac:dyDescent="0.25">
      <c r="A37" s="11">
        <v>2013</v>
      </c>
      <c r="B37" s="8">
        <v>4475.5275000000001</v>
      </c>
      <c r="C37" s="9">
        <v>13.19</v>
      </c>
      <c r="D37" s="7">
        <f t="shared" si="0"/>
        <v>59.026828513249995</v>
      </c>
    </row>
    <row r="38" spans="1:4" ht="18" x14ac:dyDescent="0.25">
      <c r="A38" s="11">
        <v>2014</v>
      </c>
      <c r="B38" s="8">
        <v>4477.6440499999999</v>
      </c>
      <c r="C38" s="9">
        <v>13.24</v>
      </c>
      <c r="D38" s="7">
        <f t="shared" si="0"/>
        <v>59.269995660999996</v>
      </c>
    </row>
    <row r="39" spans="1:4" ht="18" x14ac:dyDescent="0.25">
      <c r="A39" s="11">
        <v>2015</v>
      </c>
      <c r="B39" s="8">
        <v>4482.1288000000004</v>
      </c>
      <c r="C39" s="9">
        <v>13.2</v>
      </c>
      <c r="D39" s="7">
        <f t="shared" si="0"/>
        <v>59.134500810000006</v>
      </c>
    </row>
    <row r="40" spans="1:4" ht="18" x14ac:dyDescent="0.25">
      <c r="A40" s="11">
        <v>2016</v>
      </c>
      <c r="B40" s="8">
        <v>4490.0902999999998</v>
      </c>
      <c r="C40" s="9">
        <v>13.45</v>
      </c>
      <c r="D40" s="7">
        <f t="shared" si="0"/>
        <v>60.338173447499997</v>
      </c>
    </row>
    <row r="41" spans="1:4" ht="18" x14ac:dyDescent="0.25">
      <c r="A41" s="11">
        <v>2017</v>
      </c>
      <c r="B41" s="8">
        <v>4503.5656499999996</v>
      </c>
      <c r="C41" s="9">
        <v>13.79</v>
      </c>
      <c r="D41" s="7">
        <f t="shared" si="0"/>
        <v>62.011257775250002</v>
      </c>
    </row>
    <row r="42" spans="1:4" ht="18" x14ac:dyDescent="0.25">
      <c r="A42" s="11">
        <v>2018</v>
      </c>
      <c r="B42" s="8">
        <v>4512.4893000000002</v>
      </c>
      <c r="C42" s="9">
        <v>13.43</v>
      </c>
      <c r="D42" s="7">
        <f t="shared" si="0"/>
        <v>60.542808989249998</v>
      </c>
    </row>
    <row r="43" spans="1:4" ht="18" x14ac:dyDescent="0.25">
      <c r="A43" s="11">
        <v>2019</v>
      </c>
      <c r="B43" s="8">
        <v>4514.7223999999997</v>
      </c>
      <c r="C43" s="9">
        <v>12.590006343984754</v>
      </c>
      <c r="D43" s="7">
        <f t="shared" si="0"/>
        <v>56.826326285746696</v>
      </c>
    </row>
    <row r="44" spans="1:4" ht="18" x14ac:dyDescent="0.25">
      <c r="A44" s="11">
        <v>2020</v>
      </c>
      <c r="B44" s="8">
        <v>4517.6972999999998</v>
      </c>
      <c r="C44" s="9">
        <v>9.48</v>
      </c>
      <c r="D44" s="7">
        <f t="shared" si="0"/>
        <v>42.813669378</v>
      </c>
    </row>
    <row r="45" spans="1:4" ht="18" x14ac:dyDescent="0.25">
      <c r="A45" s="11">
        <v>2021</v>
      </c>
      <c r="B45" s="8">
        <v>4518.4249499999996</v>
      </c>
      <c r="C45" s="9">
        <v>8.34</v>
      </c>
      <c r="D45" s="7">
        <f t="shared" si="0"/>
        <v>37.680629782499999</v>
      </c>
    </row>
    <row r="46" spans="1:4" ht="18" x14ac:dyDescent="0.25">
      <c r="A46" s="11">
        <v>2022</v>
      </c>
      <c r="B46" s="8">
        <v>4522.6923999999999</v>
      </c>
      <c r="C46" s="9">
        <v>7.19</v>
      </c>
      <c r="D46" s="7">
        <f t="shared" si="0"/>
        <v>32.502816873250005</v>
      </c>
    </row>
    <row r="47" spans="1:4" ht="18" x14ac:dyDescent="0.25">
      <c r="A47" s="11">
        <v>2023</v>
      </c>
      <c r="B47" s="8">
        <v>4521.4947499999998</v>
      </c>
      <c r="C47" s="9">
        <v>6.5243910766456157</v>
      </c>
      <c r="D47" s="7">
        <f t="shared" si="0"/>
        <v>29.503906968486469</v>
      </c>
    </row>
    <row r="48" spans="1:4" ht="18" x14ac:dyDescent="0.25">
      <c r="A48" s="11">
        <v>2024</v>
      </c>
      <c r="B48" s="8">
        <v>4508.5079500000002</v>
      </c>
      <c r="C48" s="9">
        <v>6.6540860818488738</v>
      </c>
      <c r="D48" s="7">
        <f t="shared" si="0"/>
        <v>30.043207642563882</v>
      </c>
    </row>
    <row r="49" spans="1:4" ht="18" x14ac:dyDescent="0.25">
      <c r="A49" s="11">
        <v>2025</v>
      </c>
      <c r="B49" s="8">
        <v>4474</v>
      </c>
      <c r="C49" s="6">
        <v>5.53</v>
      </c>
      <c r="D49" s="7">
        <v>24.8</v>
      </c>
    </row>
    <row r="50" spans="1:4" ht="18" customHeight="1" x14ac:dyDescent="0.25">
      <c r="A50" s="3" t="s">
        <v>4</v>
      </c>
      <c r="B50" s="4"/>
      <c r="C50" s="4"/>
      <c r="D50" s="5"/>
    </row>
    <row r="51" spans="1:4" ht="18" x14ac:dyDescent="0.35">
      <c r="A51" s="1"/>
      <c r="B51" s="1"/>
      <c r="C51" s="1"/>
      <c r="D51" s="1"/>
    </row>
    <row r="52" spans="1:4" ht="90.6" customHeight="1" x14ac:dyDescent="0.25">
      <c r="A52" s="12" t="s">
        <v>5</v>
      </c>
      <c r="B52" s="2"/>
      <c r="C52" s="2"/>
      <c r="D52" s="2"/>
    </row>
    <row r="53" spans="1:4" ht="48" customHeight="1" x14ac:dyDescent="0.25">
      <c r="A53" s="12" t="s">
        <v>6</v>
      </c>
      <c r="B53" s="2"/>
      <c r="C53" s="2"/>
      <c r="D53" s="2"/>
    </row>
  </sheetData>
  <mergeCells count="3">
    <mergeCell ref="A52:D52"/>
    <mergeCell ref="A53:D53"/>
    <mergeCell ref="A50:D5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2026-09-29T07:32:15Z</dcterms:modified>
</cp:coreProperties>
</file>