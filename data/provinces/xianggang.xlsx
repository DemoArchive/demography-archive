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香港特别行政区\"/>
    </mc:Choice>
  </mc:AlternateContent>
  <xr:revisionPtr revIDLastSave="0" documentId="13_ncr:1_{A0589EB6-960D-4305-BB74-E3CCB46D5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B35" i="1"/>
  <c r="C35" i="1" s="1"/>
  <c r="C36" i="1" l="1"/>
</calcChain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<sst xmlns="http://schemas.openxmlformats.org/spreadsheetml/2006/main" count="6" uniqueCount="6">
  <si>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1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</si>
  <si>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14" type="noConversion"/>
  </si>
  <si>
    <r>
      <rPr>
        <sz val="14"/>
        <color theme="1"/>
        <rFont val="楷体"/>
        <family val="3"/>
        <charset val="134"/>
      </rPr>
      <t>总人口（万人）</t>
    </r>
    <phoneticPr fontId="14" type="noConversion"/>
  </si>
  <si>
    <r>
      <rPr>
        <sz val="14"/>
        <color theme="1"/>
        <rFont val="楷体"/>
        <family val="3"/>
        <charset val="134"/>
      </rPr>
      <t>出生人口（万人）</t>
    </r>
    <phoneticPr fontId="14" type="noConversion"/>
  </si>
  <si>
    <r>
      <rPr>
        <b/>
        <sz val="12"/>
        <color theme="1"/>
        <rFont val="楷体"/>
        <family val="3"/>
        <charset val="134"/>
      </rPr>
      <t>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11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</si>
  <si>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2022</t>
    </r>
    <r>
      <rPr>
        <b/>
        <sz val="12"/>
        <color theme="1"/>
        <rFont val="楷体"/>
        <family val="3"/>
        <charset val="134"/>
      </rPr>
      <t>年之前数据来源于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香港特别行政区政府数字政策办公室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年中人口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分别来源于</t>
    </r>
    <r>
      <rPr>
        <b/>
        <sz val="12"/>
        <color theme="1"/>
        <rFont val="楷体"/>
        <family val="1"/>
        <charset val="134"/>
      </rPr>
      <t>“‌</t>
    </r>
    <r>
      <rPr>
        <b/>
        <sz val="12"/>
        <color theme="1"/>
        <rFont val="楷体"/>
        <family val="3"/>
        <charset val="134"/>
      </rPr>
      <t>活产婴儿数目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粗出生率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Times New Roman"/>
        <family val="1"/>
      </rPr>
      <t>2022</t>
    </r>
    <r>
      <rPr>
        <b/>
        <sz val="12"/>
        <color theme="1"/>
        <rFont val="楷体"/>
        <family val="3"/>
        <charset val="134"/>
      </rPr>
      <t>年及之后数据来源于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香港特别行政区政府统计处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年底香港人口的临时数字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</si>
</sst>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_-;\-* #,##0_-;_-* &quot;-&quot;_-;_-@_-"/>
    <numFmt numFmtId="177" formatCode="_-* #,##0.00_-;\-* #,##0.00_-;_-* &quot;-&quot;??_-;_-@_-"/>
    <numFmt numFmtId="178" formatCode="0.0_ "/>
    <numFmt numFmtId="179" formatCode="#\ ###\ ##0"/>
    <numFmt numFmtId="180" formatCode="_(&quot;$&quot;* #,##0_);_(&quot;$&quot;* \(#,##0\);_(&quot;$&quot;* &quot;-&quot;_);_(@_)"/>
    <numFmt numFmtId="181" formatCode="0.0"/>
    <numFmt numFmtId="182" formatCode="###\ ##0"/>
    <numFmt numFmtId="183" formatCode="0.0_);[Red]\(0.0\)"/>
  </numFmts>
  <fonts count="19" x14ac:knownFonts="1">
    <font>
      <sz val="11"/>
      <color theme="1"/>
      <name val="等线"/>
      <family val="2"/>
      <scheme val="minor"/>
    </font>
    <font>
      <sz val="12"/>
      <color theme="1"/>
      <name val="等线"/>
      <family val="1"/>
      <charset val="136"/>
      <scheme val="minor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10"/>
      <name val="Arial"/>
      <family val="2"/>
    </font>
    <font>
      <sz val="12"/>
      <name val="Courier"/>
      <family val="3"/>
    </font>
    <font>
      <sz val="12"/>
      <color theme="1"/>
      <name val="Times New Roman"/>
      <family val="1"/>
    </font>
    <font>
      <sz val="11"/>
      <color theme="1"/>
      <name val="Consolas"/>
      <family val="3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scheme val="minor"/>
    </font>
    <font>
      <b/>
      <sz val="12"/>
      <color theme="1"/>
      <name val="楷体"/>
      <family val="3"/>
      <charset val="134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4" fillId="0" borderId="0">
      <alignment vertical="center"/>
    </xf>
    <xf numFmtId="0" fontId="8" fillId="0" borderId="0">
      <alignment vertical="center"/>
    </xf>
    <xf numFmtId="9" fontId="3" fillId="0" borderId="0" applyFont="0" applyFill="0" applyBorder="0" applyAlignment="0" applyProtection="0"/>
    <xf numFmtId="0" fontId="4" fillId="0" borderId="0"/>
    <xf numFmtId="0" fontId="1" fillId="0" borderId="0">
      <alignment vertical="center"/>
    </xf>
    <xf numFmtId="0" fontId="3" fillId="0" borderId="0"/>
    <xf numFmtId="0" fontId="4" fillId="0" borderId="0"/>
    <xf numFmtId="0" fontId="9" fillId="0" borderId="0">
      <alignment vertical="center"/>
    </xf>
    <xf numFmtId="0" fontId="1" fillId="0" borderId="0"/>
    <xf numFmtId="0" fontId="1" fillId="0" borderId="0">
      <alignment vertical="center"/>
    </xf>
    <xf numFmtId="177" fontId="4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180" fontId="2" fillId="0" borderId="0" applyFont="0" applyFill="0" applyBorder="0" applyAlignment="0" applyProtection="0"/>
  </cellStyleXfs>
  <cellXfs count="17">
    <xf numFmtId="0" fontId="0" fillId="0" borderId="0" xfId="0"/>
    <xf numFmtId="0" fontId="15" fillId="0" borderId="0" xfId="0" applyFont="1"/>
    <xf numFmtId="0" fontId="12" fillId="0" borderId="0" xfId="1" applyFont="1" applyAlignment="1">
      <alignment vertical="center" wrapText="1"/>
    </xf>
    <xf numFmtId="181" fontId="12" fillId="0" borderId="0" xfId="1" applyNumberFormat="1" applyFont="1" applyAlignment="1">
      <alignment horizontal="center" vertical="center" wrapText="1"/>
    </xf>
    <xf numFmtId="179" fontId="12" fillId="0" borderId="0" xfId="1" applyNumberFormat="1" applyFont="1" applyAlignment="1">
      <alignment horizontal="center" vertical="center" wrapText="1"/>
    </xf>
    <xf numFmtId="182" fontId="12" fillId="0" borderId="0" xfId="1" applyNumberFormat="1" applyFont="1" applyAlignment="1">
      <alignment horizontal="center" vertical="center" wrapText="1"/>
    </xf>
    <xf numFmtId="0" fontId="12" fillId="0" borderId="1" xfId="1" applyFont="1" applyBorder="1" applyAlignment="1">
      <alignment horizontal="right" vertical="center" wrapText="1"/>
    </xf>
    <xf numFmtId="181" fontId="12" fillId="0" borderId="1" xfId="1" applyNumberFormat="1" applyFont="1" applyBorder="1" applyAlignment="1">
      <alignment horizontal="right" vertical="center" wrapText="1"/>
    </xf>
    <xf numFmtId="183" fontId="12" fillId="0" borderId="1" xfId="1" applyNumberFormat="1" applyFont="1" applyBorder="1" applyAlignment="1">
      <alignment horizontal="right" vertical="center" wrapText="1"/>
    </xf>
    <xf numFmtId="179" fontId="12" fillId="0" borderId="1" xfId="1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178" fontId="12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wrapText="1"/>
    </xf>
    <xf numFmtId="183" fontId="12" fillId="0" borderId="1" xfId="0" applyNumberFormat="1" applyFont="1" applyBorder="1" applyAlignment="1">
      <alignment horizontal="right" wrapText="1"/>
    </xf>
    <xf numFmtId="0" fontId="18" fillId="0" borderId="0" xfId="0" applyFont="1" applyAlignment="1">
      <alignment vertical="center" wrapText="1"/>
    </xf>
  </cellXfs>
  <cellStyles count="23">
    <cellStyle name="Comma [0] 2" xfId="2" xr:uid="{3EF2F58A-D1A7-450E-BD0D-0FC333AC6EEE}"/>
    <cellStyle name="Comma 2" xfId="3" xr:uid="{560A6B9B-B777-4484-A9AB-1CB8151E1F5C}"/>
    <cellStyle name="Normal 2" xfId="4" xr:uid="{06FFF25B-0E78-4B58-98B4-4275F3A21B7C}"/>
    <cellStyle name="Normal 2 2" xfId="5" xr:uid="{FBFC6057-B727-4FBD-80C8-ADD7B6CBA4BE}"/>
    <cellStyle name="Normal 3" xfId="6" xr:uid="{D9246D5B-85C5-46C7-8752-1FBCC72E09DC}"/>
    <cellStyle name="Normal 4" xfId="7" xr:uid="{B5A83C0B-FA17-4BA0-BE57-FECD681D11C7}"/>
    <cellStyle name="Normal 5" xfId="8" xr:uid="{9FC67F76-46C6-4D17-A741-FA5C977D113C}"/>
    <cellStyle name="Normal 6" xfId="9" xr:uid="{6D14918B-1871-4146-8AB4-6608DF31FEA8}"/>
    <cellStyle name="Normal 7" xfId="10" xr:uid="{5D11EBB6-EF6F-4990-9E2C-9EF2DD736786}"/>
    <cellStyle name="Percent 2" xfId="11" xr:uid="{79C0ADA1-A8D8-4A91-A861-288EBC271D15}"/>
    <cellStyle name="百分比 2" xfId="21" xr:uid="{9F0809B0-A316-4CBB-985F-E714C543ED89}"/>
    <cellStyle name="常规" xfId="0" builtinId="0"/>
    <cellStyle name="常规 2" xfId="1" xr:uid="{60B3705E-CABA-4C10-BDFE-F1AE28AAC297}"/>
    <cellStyle name="貨幣[0]_96tabel2 (2)" xfId="22" xr:uid="{23EB05BE-6FAA-4D10-82C3-D9E07F72CC7C}"/>
    <cellStyle name="千分位 2" xfId="19" xr:uid="{29944B18-78DE-456A-9CAE-1ABF844D43F4}"/>
    <cellStyle name="未定義" xfId="20" xr:uid="{B8C5BE1E-697F-4FB6-B578-AA728C52CC0F}"/>
    <cellStyle name="一般 2" xfId="12" xr:uid="{0E18DC2B-3B09-4723-81FD-0CDCB9075C25}"/>
    <cellStyle name="一般 2 2" xfId="13" xr:uid="{58373A91-D054-40AB-B41E-377858CEB9B5}"/>
    <cellStyle name="一般 3" xfId="14" xr:uid="{413D0389-C69F-49EF-B17F-318A96DE3F45}"/>
    <cellStyle name="一般 3 2" xfId="15" xr:uid="{E01750D7-2681-4D9A-9EA6-482306D335F0}"/>
    <cellStyle name="一般 4" xfId="16" xr:uid="{C454B690-5CDC-4BC5-AF60-7BD5CD659D2B}"/>
    <cellStyle name="一般 5" xfId="17" xr:uid="{1F89E3A6-887C-4E33-9E28-EF381243985D}"/>
    <cellStyle name="一般 5 2" xfId="18" xr:uid="{9905482F-0E60-41AA-BB8F-197BF27230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8" workbookViewId="0">
      <selection activeCell="C29" sqref="C29"/>
    </sheetView>
  </sheetViews>
  <sheetFormatPr defaultRowHeight="17.399999999999999" x14ac:dyDescent="0.3"/>
  <cols>
    <col min="1" max="1" width="6.88671875" style="1" bestFit="1" customWidth="1"/>
    <col min="2" max="2" width="21.21875" style="1" bestFit="1" customWidth="1"/>
    <col min="3" max="3" width="18.109375" style="1" bestFit="1" customWidth="1"/>
    <col min="4" max="4" width="24.109375" style="1" bestFit="1" customWidth="1"/>
    <col min="5" max="16384" width="8.88671875" style="1"/>
  </cols>
  <sheetData>
    <row r="1" spans="1:4" ht="18.600000000000001" x14ac:dyDescent="0.3">
      <c r="A1" s="12" t="s">
        <v>0</v>
      </c>
      <c r="B1" s="12" t="s">
        <v>2</v>
      </c>
      <c r="C1" s="12" t="s">
        <v>1</v>
      </c>
      <c r="D1" s="13" t="s">
        <v>3</v>
      </c>
    </row>
    <row r="2" spans="1:4" ht="18" x14ac:dyDescent="0.35">
      <c r="A2" s="6">
        <v>1991</v>
      </c>
      <c r="B2" s="14">
        <v>575.20000000000005</v>
      </c>
      <c r="C2" s="7">
        <v>12</v>
      </c>
      <c r="D2" s="15">
        <v>6.8281000000000001</v>
      </c>
    </row>
    <row r="3" spans="1:4" ht="18" x14ac:dyDescent="0.35">
      <c r="A3" s="6">
        <v>1992</v>
      </c>
      <c r="B3" s="14">
        <v>580.04999999999995</v>
      </c>
      <c r="C3" s="7">
        <v>12.3</v>
      </c>
      <c r="D3" s="15">
        <v>7.0949</v>
      </c>
    </row>
    <row r="4" spans="1:4" ht="18" x14ac:dyDescent="0.35">
      <c r="A4" s="6">
        <v>1993</v>
      </c>
      <c r="B4" s="14">
        <v>590.1</v>
      </c>
      <c r="C4" s="7">
        <v>12</v>
      </c>
      <c r="D4" s="15">
        <v>7.0450999999999997</v>
      </c>
    </row>
    <row r="5" spans="1:4" ht="18" x14ac:dyDescent="0.35">
      <c r="A5" s="6">
        <v>1994</v>
      </c>
      <c r="B5" s="14">
        <v>603.54</v>
      </c>
      <c r="C5" s="7">
        <v>11.9</v>
      </c>
      <c r="D5" s="15">
        <v>7.1646000000000001</v>
      </c>
    </row>
    <row r="6" spans="1:4" ht="18" x14ac:dyDescent="0.35">
      <c r="A6" s="6">
        <v>1995</v>
      </c>
      <c r="B6" s="14">
        <v>615.61</v>
      </c>
      <c r="C6" s="7">
        <v>11.2</v>
      </c>
      <c r="D6" s="15">
        <v>6.8636999999999997</v>
      </c>
    </row>
    <row r="7" spans="1:4" ht="18" x14ac:dyDescent="0.35">
      <c r="A7" s="6">
        <v>1996</v>
      </c>
      <c r="B7" s="14">
        <v>643.54999999999995</v>
      </c>
      <c r="C7" s="7">
        <v>9.9</v>
      </c>
      <c r="D7" s="15">
        <v>6.3291000000000004</v>
      </c>
    </row>
    <row r="8" spans="1:4" ht="18" x14ac:dyDescent="0.35">
      <c r="A8" s="6">
        <v>1997</v>
      </c>
      <c r="B8" s="14">
        <v>648.92999999999995</v>
      </c>
      <c r="C8" s="7">
        <v>9.1</v>
      </c>
      <c r="D8" s="15">
        <v>5.9249999999999998</v>
      </c>
    </row>
    <row r="9" spans="1:4" ht="18" x14ac:dyDescent="0.35">
      <c r="A9" s="6">
        <v>1998</v>
      </c>
      <c r="B9" s="14">
        <v>654.37</v>
      </c>
      <c r="C9" s="7">
        <v>8.1</v>
      </c>
      <c r="D9" s="15">
        <v>5.2976999999999999</v>
      </c>
    </row>
    <row r="10" spans="1:4" ht="18" x14ac:dyDescent="0.35">
      <c r="A10" s="6">
        <v>1999</v>
      </c>
      <c r="B10" s="14">
        <v>660.65</v>
      </c>
      <c r="C10" s="7">
        <v>7.8</v>
      </c>
      <c r="D10" s="15">
        <v>5.1280999999999999</v>
      </c>
    </row>
    <row r="11" spans="1:4" ht="18" x14ac:dyDescent="0.35">
      <c r="A11" s="6">
        <v>2000</v>
      </c>
      <c r="B11" s="14">
        <v>666.5</v>
      </c>
      <c r="C11" s="7">
        <v>8.1</v>
      </c>
      <c r="D11" s="15">
        <v>5.4134000000000002</v>
      </c>
    </row>
    <row r="12" spans="1:4" ht="18" x14ac:dyDescent="0.35">
      <c r="A12" s="6">
        <v>2001</v>
      </c>
      <c r="B12" s="14">
        <v>671.43</v>
      </c>
      <c r="C12" s="7">
        <v>7.2</v>
      </c>
      <c r="D12" s="15">
        <v>4.8219000000000003</v>
      </c>
    </row>
    <row r="13" spans="1:4" ht="18" x14ac:dyDescent="0.35">
      <c r="A13" s="6">
        <v>2002</v>
      </c>
      <c r="B13" s="14">
        <v>674.41</v>
      </c>
      <c r="C13" s="7">
        <v>7.1</v>
      </c>
      <c r="D13" s="15">
        <v>4.8209</v>
      </c>
    </row>
    <row r="14" spans="1:4" ht="18" x14ac:dyDescent="0.35">
      <c r="A14" s="6">
        <v>2003</v>
      </c>
      <c r="B14" s="14">
        <v>673.08</v>
      </c>
      <c r="C14" s="7">
        <v>7</v>
      </c>
      <c r="D14" s="15">
        <v>4.6965000000000003</v>
      </c>
    </row>
    <row r="15" spans="1:4" ht="18" x14ac:dyDescent="0.35">
      <c r="A15" s="6">
        <v>2004</v>
      </c>
      <c r="B15" s="14">
        <v>678.35</v>
      </c>
      <c r="C15" s="7">
        <v>7.3</v>
      </c>
      <c r="D15" s="15">
        <v>4.9795999999999996</v>
      </c>
    </row>
    <row r="16" spans="1:4" ht="18" x14ac:dyDescent="0.35">
      <c r="A16" s="6">
        <v>2005</v>
      </c>
      <c r="B16" s="14">
        <v>681.32</v>
      </c>
      <c r="C16" s="7">
        <v>8.4</v>
      </c>
      <c r="D16" s="15">
        <v>5.7098000000000004</v>
      </c>
    </row>
    <row r="17" spans="1:4" ht="18" x14ac:dyDescent="0.35">
      <c r="A17" s="6">
        <v>2006</v>
      </c>
      <c r="B17" s="14">
        <v>685.71</v>
      </c>
      <c r="C17" s="7">
        <v>9.6</v>
      </c>
      <c r="D17" s="15">
        <v>6.5625999999999998</v>
      </c>
    </row>
    <row r="18" spans="1:4" ht="18" x14ac:dyDescent="0.35">
      <c r="A18" s="6">
        <v>2007</v>
      </c>
      <c r="B18" s="14">
        <v>691.63</v>
      </c>
      <c r="C18" s="7">
        <v>10.199999999999999</v>
      </c>
      <c r="D18" s="15">
        <v>7.0875000000000004</v>
      </c>
    </row>
    <row r="19" spans="1:4" ht="18" x14ac:dyDescent="0.35">
      <c r="A19" s="6">
        <v>2008</v>
      </c>
      <c r="B19" s="14">
        <v>695.78</v>
      </c>
      <c r="C19" s="7">
        <v>11.3</v>
      </c>
      <c r="D19" s="15">
        <v>7.8822000000000001</v>
      </c>
    </row>
    <row r="20" spans="1:4" ht="18" x14ac:dyDescent="0.35">
      <c r="A20" s="6">
        <v>2009</v>
      </c>
      <c r="B20" s="14">
        <v>697.28</v>
      </c>
      <c r="C20" s="7">
        <v>11.8</v>
      </c>
      <c r="D20" s="15">
        <v>8.2095000000000002</v>
      </c>
    </row>
    <row r="21" spans="1:4" ht="18" x14ac:dyDescent="0.35">
      <c r="A21" s="6">
        <v>2010</v>
      </c>
      <c r="B21" s="14">
        <v>702.42</v>
      </c>
      <c r="C21" s="7">
        <v>12.6</v>
      </c>
      <c r="D21" s="15">
        <v>8.8583999999999996</v>
      </c>
    </row>
    <row r="22" spans="1:4" ht="18" x14ac:dyDescent="0.35">
      <c r="A22" s="6">
        <v>2011</v>
      </c>
      <c r="B22" s="14">
        <v>707.16</v>
      </c>
      <c r="C22" s="7">
        <v>13.5</v>
      </c>
      <c r="D22" s="15">
        <v>9.5450999999999997</v>
      </c>
    </row>
    <row r="23" spans="1:4" ht="18" x14ac:dyDescent="0.35">
      <c r="A23" s="6">
        <v>2012</v>
      </c>
      <c r="B23" s="14">
        <v>715.01</v>
      </c>
      <c r="C23" s="7">
        <v>12.8</v>
      </c>
      <c r="D23" s="15">
        <v>9.1557999999999993</v>
      </c>
    </row>
    <row r="24" spans="1:4" ht="18" x14ac:dyDescent="0.35">
      <c r="A24" s="6">
        <v>2013</v>
      </c>
      <c r="B24" s="14">
        <v>717.89</v>
      </c>
      <c r="C24" s="7">
        <v>8</v>
      </c>
      <c r="D24" s="15">
        <v>5.7084000000000001</v>
      </c>
    </row>
    <row r="25" spans="1:4" ht="18" x14ac:dyDescent="0.35">
      <c r="A25" s="6">
        <v>2014</v>
      </c>
      <c r="B25" s="14">
        <v>722.95</v>
      </c>
      <c r="C25" s="7">
        <v>8.6</v>
      </c>
      <c r="D25" s="15">
        <v>6.2305000000000001</v>
      </c>
    </row>
    <row r="26" spans="1:4" ht="18" x14ac:dyDescent="0.35">
      <c r="A26" s="6">
        <v>2015</v>
      </c>
      <c r="B26" s="14">
        <v>729.13</v>
      </c>
      <c r="C26" s="7">
        <v>8.1999999999999993</v>
      </c>
      <c r="D26" s="15">
        <v>5.9878</v>
      </c>
    </row>
    <row r="27" spans="1:4" ht="18" x14ac:dyDescent="0.35">
      <c r="A27" s="6">
        <v>2016</v>
      </c>
      <c r="B27" s="14">
        <v>733.66</v>
      </c>
      <c r="C27" s="7">
        <v>8.3000000000000007</v>
      </c>
      <c r="D27" s="15">
        <v>6.0856000000000003</v>
      </c>
    </row>
    <row r="28" spans="1:4" ht="18" x14ac:dyDescent="0.35">
      <c r="A28" s="6">
        <v>2017</v>
      </c>
      <c r="B28" s="14">
        <v>739.32</v>
      </c>
      <c r="C28" s="7">
        <v>7.6</v>
      </c>
      <c r="D28" s="15">
        <v>5.6547999999999998</v>
      </c>
    </row>
    <row r="29" spans="1:4" ht="18" x14ac:dyDescent="0.35">
      <c r="A29" s="6">
        <v>2018</v>
      </c>
      <c r="B29" s="14">
        <v>745.26</v>
      </c>
      <c r="C29" s="7">
        <v>7.2</v>
      </c>
      <c r="D29" s="15">
        <v>5.3715999999999999</v>
      </c>
    </row>
    <row r="30" spans="1:4" ht="18" x14ac:dyDescent="0.35">
      <c r="A30" s="6">
        <v>2019</v>
      </c>
      <c r="B30" s="14">
        <v>750.79</v>
      </c>
      <c r="C30" s="7">
        <v>7</v>
      </c>
      <c r="D30" s="15">
        <v>5.2855999999999996</v>
      </c>
    </row>
    <row r="31" spans="1:4" ht="18" x14ac:dyDescent="0.35">
      <c r="A31" s="6">
        <v>2020</v>
      </c>
      <c r="B31" s="14">
        <v>748.1</v>
      </c>
      <c r="C31" s="7">
        <v>5.8</v>
      </c>
      <c r="D31" s="15">
        <v>4.3030999999999997</v>
      </c>
    </row>
    <row r="32" spans="1:4" ht="18" x14ac:dyDescent="0.35">
      <c r="A32" s="6">
        <v>2021</v>
      </c>
      <c r="B32" s="14">
        <v>741.31</v>
      </c>
      <c r="C32" s="7">
        <v>5</v>
      </c>
      <c r="D32" s="15">
        <v>3.6953</v>
      </c>
    </row>
    <row r="33" spans="1:4" ht="18" x14ac:dyDescent="0.35">
      <c r="A33" s="6">
        <v>2022</v>
      </c>
      <c r="B33" s="14">
        <v>733.32</v>
      </c>
      <c r="C33" s="7">
        <f>D33*1000/(B32+B33)*2</f>
        <v>4.4078853678549867</v>
      </c>
      <c r="D33" s="15">
        <v>3.25</v>
      </c>
    </row>
    <row r="34" spans="1:4" ht="18" x14ac:dyDescent="0.35">
      <c r="A34" s="6">
        <v>2023</v>
      </c>
      <c r="B34" s="14">
        <v>750.31</v>
      </c>
      <c r="C34" s="7">
        <f>D34*1000/(B33+B34)*2</f>
        <v>4.4755093925035219</v>
      </c>
      <c r="D34" s="15">
        <v>3.32</v>
      </c>
    </row>
    <row r="35" spans="1:4" ht="18" x14ac:dyDescent="0.35">
      <c r="A35" s="6">
        <v>2024</v>
      </c>
      <c r="B35" s="14">
        <f>7534200/10000</f>
        <v>753.42</v>
      </c>
      <c r="C35" s="7">
        <f>D35*1000/(B34+B35)*2</f>
        <v>4.8811954273706046</v>
      </c>
      <c r="D35" s="8">
        <v>3.67</v>
      </c>
    </row>
    <row r="36" spans="1:4" ht="18" x14ac:dyDescent="0.3">
      <c r="A36" s="6">
        <v>2025</v>
      </c>
      <c r="B36" s="9">
        <v>751.08</v>
      </c>
      <c r="C36" s="7">
        <f>D36*1000/(B35+B36)*2</f>
        <v>4.1342638750415421</v>
      </c>
      <c r="D36" s="8">
        <v>3.11</v>
      </c>
    </row>
    <row r="37" spans="1:4" ht="18" x14ac:dyDescent="0.3">
      <c r="A37" s="2"/>
      <c r="B37" s="4"/>
      <c r="C37" s="3"/>
      <c r="D37" s="5"/>
    </row>
    <row r="38" spans="1:4" ht="111" customHeight="1" x14ac:dyDescent="0.3">
      <c r="A38" s="16" t="s">
        <v>5</v>
      </c>
      <c r="B38" s="11"/>
      <c r="C38" s="11"/>
      <c r="D38" s="11"/>
    </row>
    <row r="39" spans="1:4" x14ac:dyDescent="0.3">
      <c r="A39" s="10" t="s">
        <v>4</v>
      </c>
      <c r="B39" s="10"/>
      <c r="C39" s="10"/>
      <c r="D39" s="10"/>
    </row>
  </sheetData>
  <mergeCells count="1">
    <mergeCell ref="A38:D38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2026-09-29T07:54:45Z</dcterms:modified>
</cp:coreProperties>
</file>