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ome\Desktop\web\北京市\"/>
    </mc:Choice>
  </mc:AlternateContent>
  <xr:revisionPtr revIDLastSave="0" documentId="13_ncr:1_{A1D2AC56-BCFB-46FD-94BC-32374E8642F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9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3" i="1"/>
</calcChain>
</file>

<file path=xl/sharedStrings.xml><?xml version="1.0" encoding="utf-8"?>
<sst xmlns="http://schemas.openxmlformats.org/spreadsheetml/2006/main" count="8" uniqueCount="8">
  <si>
    <r>
      <rPr>
        <sz val="14"/>
        <color theme="1"/>
        <rFont val="楷体"/>
        <family val="3"/>
        <charset val="134"/>
      </rPr>
      <t>年份</t>
    </r>
    <phoneticPr fontId="4" type="noConversion"/>
  </si>
  <si>
    <r>
      <rPr>
        <sz val="14"/>
        <color theme="1"/>
        <rFont val="楷体"/>
        <family val="3"/>
        <charset val="134"/>
      </rPr>
      <t>出生率（</t>
    </r>
    <r>
      <rPr>
        <sz val="14"/>
        <color theme="1"/>
        <rFont val="Times New Roman"/>
        <family val="1"/>
      </rPr>
      <t>‰</t>
    </r>
    <r>
      <rPr>
        <sz val="14"/>
        <color theme="1"/>
        <rFont val="楷体"/>
        <family val="3"/>
        <charset val="134"/>
      </rPr>
      <t>）</t>
    </r>
    <phoneticPr fontId="4" type="noConversion"/>
  </si>
  <si>
    <t xml:space="preserve">    </t>
    <phoneticPr fontId="1" type="noConversion"/>
  </si>
  <si>
    <t>出生人口（万人）</t>
    <phoneticPr fontId="4" type="noConversion"/>
  </si>
  <si>
    <r>
      <rPr>
        <sz val="10"/>
        <rFont val="楷体"/>
        <family val="3"/>
        <charset val="134"/>
      </rPr>
      <t>注：</t>
    </r>
    <r>
      <rPr>
        <sz val="10"/>
        <rFont val="Times New Roman"/>
        <family val="1"/>
      </rPr>
      <t>1978-1981</t>
    </r>
    <r>
      <rPr>
        <sz val="10"/>
        <rFont val="楷体"/>
        <family val="3"/>
        <charset val="134"/>
      </rPr>
      <t>年为户籍统计数，含暂住人口。自</t>
    </r>
    <r>
      <rPr>
        <sz val="10"/>
        <rFont val="Times New Roman"/>
        <family val="1"/>
      </rPr>
      <t>1990</t>
    </r>
    <r>
      <rPr>
        <sz val="10"/>
        <rFont val="楷体"/>
        <family val="3"/>
        <charset val="134"/>
      </rPr>
      <t>年起为人口变动情况抽样调查推算数。其中，</t>
    </r>
    <r>
      <rPr>
        <sz val="10"/>
        <rFont val="Times New Roman"/>
        <family val="1"/>
      </rPr>
      <t>1982</t>
    </r>
    <r>
      <rPr>
        <sz val="10"/>
        <rFont val="楷体"/>
        <family val="3"/>
        <charset val="134"/>
      </rPr>
      <t>年、</t>
    </r>
    <r>
      <rPr>
        <sz val="10"/>
        <rFont val="Times New Roman"/>
        <family val="1"/>
      </rPr>
      <t>1990</t>
    </r>
    <r>
      <rPr>
        <sz val="10"/>
        <rFont val="楷体"/>
        <family val="3"/>
        <charset val="134"/>
      </rPr>
      <t>年、</t>
    </r>
    <r>
      <rPr>
        <sz val="10"/>
        <rFont val="Times New Roman"/>
        <family val="1"/>
      </rPr>
      <t>2000</t>
    </r>
    <r>
      <rPr>
        <sz val="10"/>
        <rFont val="楷体"/>
        <family val="3"/>
        <charset val="134"/>
      </rPr>
      <t>年、</t>
    </r>
    <r>
      <rPr>
        <sz val="10"/>
        <rFont val="Times New Roman"/>
        <family val="1"/>
      </rPr>
      <t>2010</t>
    </r>
    <r>
      <rPr>
        <sz val="10"/>
        <rFont val="楷体"/>
        <family val="3"/>
        <charset val="134"/>
      </rPr>
      <t>年、</t>
    </r>
    <r>
      <rPr>
        <sz val="10"/>
        <rFont val="Times New Roman"/>
        <family val="1"/>
      </rPr>
      <t>2020</t>
    </r>
    <r>
      <rPr>
        <sz val="10"/>
        <rFont val="楷体"/>
        <family val="3"/>
        <charset val="134"/>
      </rPr>
      <t>年为人口普查推算数；</t>
    </r>
    <r>
      <rPr>
        <sz val="10"/>
        <rFont val="Times New Roman"/>
        <family val="1"/>
      </rPr>
      <t>1995</t>
    </r>
    <r>
      <rPr>
        <sz val="10"/>
        <rFont val="楷体"/>
        <family val="3"/>
        <charset val="134"/>
      </rPr>
      <t>年、</t>
    </r>
    <r>
      <rPr>
        <sz val="10"/>
        <rFont val="Times New Roman"/>
        <family val="1"/>
      </rPr>
      <t>2005</t>
    </r>
    <r>
      <rPr>
        <sz val="10"/>
        <rFont val="楷体"/>
        <family val="3"/>
        <charset val="134"/>
      </rPr>
      <t>年、</t>
    </r>
    <r>
      <rPr>
        <sz val="10"/>
        <rFont val="Times New Roman"/>
        <family val="1"/>
      </rPr>
      <t>2015</t>
    </r>
    <r>
      <rPr>
        <sz val="10"/>
        <rFont val="楷体"/>
        <family val="3"/>
        <charset val="134"/>
      </rPr>
      <t>年为</t>
    </r>
    <r>
      <rPr>
        <sz val="10"/>
        <rFont val="Times New Roman"/>
        <family val="1"/>
      </rPr>
      <t>1%</t>
    </r>
    <r>
      <rPr>
        <sz val="10"/>
        <rFont val="楷体"/>
        <family val="3"/>
        <charset val="134"/>
      </rPr>
      <t>人口抽样调查推算数；</t>
    </r>
    <r>
      <rPr>
        <sz val="10"/>
        <rFont val="Times New Roman"/>
        <family val="1"/>
      </rPr>
      <t>1983-1989</t>
    </r>
    <r>
      <rPr>
        <sz val="10"/>
        <rFont val="楷体"/>
        <family val="3"/>
        <charset val="134"/>
      </rPr>
      <t>年数据根据</t>
    </r>
    <r>
      <rPr>
        <sz val="10"/>
        <rFont val="Times New Roman"/>
        <family val="1"/>
      </rPr>
      <t>1982</t>
    </r>
    <r>
      <rPr>
        <sz val="10"/>
        <rFont val="楷体"/>
        <family val="3"/>
        <charset val="134"/>
      </rPr>
      <t>年、</t>
    </r>
    <r>
      <rPr>
        <sz val="10"/>
        <rFont val="Times New Roman"/>
        <family val="1"/>
      </rPr>
      <t>1990</t>
    </r>
    <r>
      <rPr>
        <sz val="10"/>
        <rFont val="楷体"/>
        <family val="3"/>
        <charset val="134"/>
      </rPr>
      <t>年两次人口普查数据进行了修订；</t>
    </r>
    <r>
      <rPr>
        <sz val="10"/>
        <rFont val="Times New Roman"/>
        <family val="1"/>
      </rPr>
      <t>2006-2009</t>
    </r>
    <r>
      <rPr>
        <sz val="10"/>
        <rFont val="楷体"/>
        <family val="3"/>
        <charset val="134"/>
      </rPr>
      <t>年数据根据</t>
    </r>
    <r>
      <rPr>
        <sz val="10"/>
        <rFont val="Times New Roman"/>
        <family val="1"/>
      </rPr>
      <t>2010</t>
    </r>
    <r>
      <rPr>
        <sz val="10"/>
        <rFont val="楷体"/>
        <family val="3"/>
        <charset val="134"/>
      </rPr>
      <t>年人口普查结果进行了修订；</t>
    </r>
    <r>
      <rPr>
        <sz val="10"/>
        <rFont val="Times New Roman"/>
        <family val="1"/>
      </rPr>
      <t>2011-2019</t>
    </r>
    <r>
      <rPr>
        <sz val="10"/>
        <rFont val="楷体"/>
        <family val="3"/>
        <charset val="134"/>
      </rPr>
      <t>年数据根据</t>
    </r>
    <r>
      <rPr>
        <sz val="10"/>
        <rFont val="Times New Roman"/>
        <family val="1"/>
      </rPr>
      <t>2010</t>
    </r>
    <r>
      <rPr>
        <sz val="10"/>
        <rFont val="楷体"/>
        <family val="3"/>
        <charset val="134"/>
      </rPr>
      <t>年、</t>
    </r>
    <r>
      <rPr>
        <sz val="10"/>
        <rFont val="Times New Roman"/>
        <family val="1"/>
      </rPr>
      <t>2020</t>
    </r>
    <r>
      <rPr>
        <sz val="10"/>
        <rFont val="楷体"/>
        <family val="3"/>
        <charset val="134"/>
      </rPr>
      <t>年两次人口普查结果进行了修订。</t>
    </r>
    <phoneticPr fontId="1" type="noConversion"/>
  </si>
  <si>
    <t>总人口（万人）</t>
    <phoneticPr fontId="4" type="noConversion"/>
  </si>
  <si>
    <t>出生人口计算公式 = [（当年总人口+上年总人口）/2]×出生率</t>
    <phoneticPr fontId="1" type="noConversion"/>
  </si>
  <si>
    <t>表格中2025年以前“总人口”和“出生率”数据分别来源于来源于《2025年北京市统计年鉴》中“常住人口”和“常住人口出生率”。2025年数据来源于《北京市国民经济和社会发展统计公报》，其中“总人口”数据来源于原始资料中“年末常住人口”，“出生率”来源于对应数据。“出生人口”通过公式计算得出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</si>
</sst>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_);[Red]\(0.0\)"/>
  </numFmts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Times New Roman"/>
      <family val="1"/>
    </font>
    <font>
      <sz val="14"/>
      <color theme="1"/>
      <name val="楷体"/>
      <family val="3"/>
      <charset val="134"/>
    </font>
    <font>
      <sz val="9"/>
      <name val="等线"/>
      <family val="2"/>
      <charset val="134"/>
      <scheme val="minor"/>
    </font>
    <font>
      <sz val="10"/>
      <name val="楷体"/>
      <family val="3"/>
      <charset val="134"/>
    </font>
    <font>
      <sz val="10"/>
      <name val="Times New Roman"/>
      <family val="1"/>
    </font>
    <font>
      <sz val="14"/>
      <name val="Times New Roman"/>
      <family val="1"/>
    </font>
    <font>
      <sz val="10"/>
      <name val="Times New Roman"/>
      <family val="3"/>
      <charset val="134"/>
    </font>
    <font>
      <b/>
      <sz val="12"/>
      <name val="楷体"/>
      <family val="3"/>
      <charset val="134"/>
    </font>
    <font>
      <b/>
      <sz val="12"/>
      <color theme="1"/>
      <name val="楷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77" fontId="0" fillId="0" borderId="0" xfId="0" applyNumberFormat="1"/>
    <xf numFmtId="0" fontId="7" fillId="0" borderId="0" xfId="0" applyFont="1" applyAlignment="1">
      <alignment horizontal="left" vertical="center"/>
    </xf>
    <xf numFmtId="0" fontId="2" fillId="0" borderId="0" xfId="0" applyFont="1"/>
    <xf numFmtId="177" fontId="2" fillId="0" borderId="0" xfId="0" applyNumberFormat="1" applyFont="1"/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177" fontId="3" fillId="0" borderId="1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176" fontId="7" fillId="0" borderId="1" xfId="0" applyNumberFormat="1" applyFont="1" applyBorder="1" applyAlignment="1">
      <alignment horizontal="right" vertical="center" wrapText="1"/>
    </xf>
    <xf numFmtId="2" fontId="7" fillId="0" borderId="1" xfId="0" applyNumberFormat="1" applyFont="1" applyBorder="1" applyAlignment="1">
      <alignment horizontal="right" vertical="center" wrapText="1"/>
    </xf>
    <xf numFmtId="177" fontId="2" fillId="0" borderId="1" xfId="0" applyNumberFormat="1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workbookViewId="0">
      <selection sqref="A1:D49"/>
    </sheetView>
  </sheetViews>
  <sheetFormatPr defaultRowHeight="13.8" x14ac:dyDescent="0.25"/>
  <cols>
    <col min="1" max="1" width="10.88671875" customWidth="1"/>
    <col min="2" max="2" width="24.109375" bestFit="1" customWidth="1"/>
    <col min="3" max="3" width="18.109375" bestFit="1" customWidth="1"/>
    <col min="4" max="4" width="24.5546875" style="1" customWidth="1"/>
  </cols>
  <sheetData>
    <row r="1" spans="1:4" ht="18.600000000000001" x14ac:dyDescent="0.25">
      <c r="A1" s="9" t="s">
        <v>0</v>
      </c>
      <c r="B1" s="10" t="s">
        <v>5</v>
      </c>
      <c r="C1" s="9" t="s">
        <v>1</v>
      </c>
      <c r="D1" s="11" t="s">
        <v>3</v>
      </c>
    </row>
    <row r="2" spans="1:4" ht="18" x14ac:dyDescent="0.25">
      <c r="A2" s="12">
        <v>1978</v>
      </c>
      <c r="B2" s="13">
        <v>871.5</v>
      </c>
      <c r="C2" s="14">
        <v>12.93</v>
      </c>
      <c r="D2" s="15"/>
    </row>
    <row r="3" spans="1:4" ht="18" x14ac:dyDescent="0.25">
      <c r="A3" s="12">
        <v>1979</v>
      </c>
      <c r="B3" s="13">
        <v>897.1</v>
      </c>
      <c r="C3" s="14">
        <v>13.67</v>
      </c>
      <c r="D3" s="15">
        <f>(B2+B3)/2*C3/1000</f>
        <v>12.088381</v>
      </c>
    </row>
    <row r="4" spans="1:4" ht="18" x14ac:dyDescent="0.25">
      <c r="A4" s="12">
        <v>1980</v>
      </c>
      <c r="B4" s="13">
        <v>904.3</v>
      </c>
      <c r="C4" s="14">
        <v>15.56</v>
      </c>
      <c r="D4" s="15">
        <f t="shared" ref="D4:D49" si="0">(B3+B4)/2*C4/1000</f>
        <v>14.014892000000001</v>
      </c>
    </row>
    <row r="5" spans="1:4" ht="18" x14ac:dyDescent="0.25">
      <c r="A5" s="12">
        <v>1981</v>
      </c>
      <c r="B5" s="13">
        <v>919.2</v>
      </c>
      <c r="C5" s="14">
        <v>16.93</v>
      </c>
      <c r="D5" s="15">
        <f t="shared" si="0"/>
        <v>15.4359275</v>
      </c>
    </row>
    <row r="6" spans="1:4" ht="18" x14ac:dyDescent="0.25">
      <c r="A6" s="12">
        <v>1982</v>
      </c>
      <c r="B6" s="13">
        <v>935</v>
      </c>
      <c r="C6" s="14">
        <v>20.04</v>
      </c>
      <c r="D6" s="15">
        <f t="shared" si="0"/>
        <v>18.579083999999998</v>
      </c>
    </row>
    <row r="7" spans="1:4" ht="18" x14ac:dyDescent="0.25">
      <c r="A7" s="12">
        <v>1983</v>
      </c>
      <c r="B7" s="13">
        <v>950</v>
      </c>
      <c r="C7" s="14">
        <v>15.63</v>
      </c>
      <c r="D7" s="15">
        <f t="shared" si="0"/>
        <v>14.731275000000002</v>
      </c>
    </row>
    <row r="8" spans="1:4" ht="18" x14ac:dyDescent="0.25">
      <c r="A8" s="12">
        <v>1984</v>
      </c>
      <c r="B8" s="13">
        <v>965</v>
      </c>
      <c r="C8" s="14">
        <v>16.739999999999998</v>
      </c>
      <c r="D8" s="15">
        <f t="shared" si="0"/>
        <v>16.028549999999999</v>
      </c>
    </row>
    <row r="9" spans="1:4" ht="18" x14ac:dyDescent="0.25">
      <c r="A9" s="12">
        <v>1985</v>
      </c>
      <c r="B9" s="13">
        <v>981</v>
      </c>
      <c r="C9" s="14">
        <v>15.45</v>
      </c>
      <c r="D9" s="15">
        <f t="shared" si="0"/>
        <v>15.032849999999998</v>
      </c>
    </row>
    <row r="10" spans="1:4" ht="18" x14ac:dyDescent="0.25">
      <c r="A10" s="12">
        <v>1986</v>
      </c>
      <c r="B10" s="13">
        <v>1028</v>
      </c>
      <c r="C10" s="14">
        <v>15.82</v>
      </c>
      <c r="D10" s="15">
        <f t="shared" si="0"/>
        <v>15.89119</v>
      </c>
    </row>
    <row r="11" spans="1:4" ht="18" x14ac:dyDescent="0.25">
      <c r="A11" s="12">
        <v>1987</v>
      </c>
      <c r="B11" s="13">
        <v>1047</v>
      </c>
      <c r="C11" s="14">
        <v>17.29</v>
      </c>
      <c r="D11" s="15">
        <f t="shared" si="0"/>
        <v>17.938375000000001</v>
      </c>
    </row>
    <row r="12" spans="1:4" ht="18" x14ac:dyDescent="0.25">
      <c r="A12" s="12">
        <v>1988</v>
      </c>
      <c r="B12" s="13">
        <v>1061</v>
      </c>
      <c r="C12" s="14">
        <v>14.43</v>
      </c>
      <c r="D12" s="15">
        <f t="shared" si="0"/>
        <v>15.20922</v>
      </c>
    </row>
    <row r="13" spans="1:4" ht="18" x14ac:dyDescent="0.25">
      <c r="A13" s="12">
        <v>1989</v>
      </c>
      <c r="B13" s="13">
        <v>1075</v>
      </c>
      <c r="C13" s="14">
        <v>12.84</v>
      </c>
      <c r="D13" s="15">
        <f t="shared" si="0"/>
        <v>13.713119999999998</v>
      </c>
    </row>
    <row r="14" spans="1:4" ht="18" x14ac:dyDescent="0.25">
      <c r="A14" s="12">
        <v>1990</v>
      </c>
      <c r="B14" s="13">
        <v>1086</v>
      </c>
      <c r="C14" s="14">
        <v>13.04</v>
      </c>
      <c r="D14" s="15">
        <f t="shared" si="0"/>
        <v>14.08972</v>
      </c>
    </row>
    <row r="15" spans="1:4" ht="18" x14ac:dyDescent="0.25">
      <c r="A15" s="12">
        <v>1991</v>
      </c>
      <c r="B15" s="13">
        <v>1094</v>
      </c>
      <c r="C15" s="14">
        <v>8.0299999999999994</v>
      </c>
      <c r="D15" s="15">
        <f t="shared" si="0"/>
        <v>8.752699999999999</v>
      </c>
    </row>
    <row r="16" spans="1:4" ht="18" x14ac:dyDescent="0.25">
      <c r="A16" s="12">
        <v>1992</v>
      </c>
      <c r="B16" s="13">
        <v>1102</v>
      </c>
      <c r="C16" s="14">
        <v>9.2200000000000006</v>
      </c>
      <c r="D16" s="15">
        <f t="shared" si="0"/>
        <v>10.123560000000001</v>
      </c>
    </row>
    <row r="17" spans="1:4" ht="18" x14ac:dyDescent="0.25">
      <c r="A17" s="12">
        <v>1993</v>
      </c>
      <c r="B17" s="13">
        <v>1112</v>
      </c>
      <c r="C17" s="14">
        <v>9.35</v>
      </c>
      <c r="D17" s="15">
        <f t="shared" si="0"/>
        <v>10.350449999999999</v>
      </c>
    </row>
    <row r="18" spans="1:4" ht="18" x14ac:dyDescent="0.25">
      <c r="A18" s="12">
        <v>1994</v>
      </c>
      <c r="B18" s="13">
        <v>1125</v>
      </c>
      <c r="C18" s="14">
        <v>8.9600000000000009</v>
      </c>
      <c r="D18" s="15">
        <f t="shared" si="0"/>
        <v>10.02176</v>
      </c>
    </row>
    <row r="19" spans="1:4" ht="18" x14ac:dyDescent="0.25">
      <c r="A19" s="12">
        <v>1995</v>
      </c>
      <c r="B19" s="13">
        <v>1251.0999999999999</v>
      </c>
      <c r="C19" s="14">
        <v>7.92</v>
      </c>
      <c r="D19" s="15">
        <f t="shared" si="0"/>
        <v>9.4093559999999989</v>
      </c>
    </row>
    <row r="20" spans="1:4" ht="18" x14ac:dyDescent="0.25">
      <c r="A20" s="12">
        <v>1996</v>
      </c>
      <c r="B20" s="13">
        <v>1259.4000000000001</v>
      </c>
      <c r="C20" s="14">
        <v>8.02</v>
      </c>
      <c r="D20" s="15">
        <f t="shared" si="0"/>
        <v>10.067105</v>
      </c>
    </row>
    <row r="21" spans="1:4" ht="18" x14ac:dyDescent="0.25">
      <c r="A21" s="12">
        <v>1997</v>
      </c>
      <c r="B21" s="13">
        <v>1240</v>
      </c>
      <c r="C21" s="14">
        <v>7.91</v>
      </c>
      <c r="D21" s="15">
        <f t="shared" si="0"/>
        <v>9.8851270000000007</v>
      </c>
    </row>
    <row r="22" spans="1:4" ht="18" x14ac:dyDescent="0.25">
      <c r="A22" s="12">
        <v>1998</v>
      </c>
      <c r="B22" s="13">
        <v>1245.5999999999999</v>
      </c>
      <c r="C22" s="14">
        <v>6</v>
      </c>
      <c r="D22" s="15">
        <f t="shared" si="0"/>
        <v>7.4567999999999994</v>
      </c>
    </row>
    <row r="23" spans="1:4" ht="18" x14ac:dyDescent="0.25">
      <c r="A23" s="12">
        <v>1999</v>
      </c>
      <c r="B23" s="13">
        <v>1257.2</v>
      </c>
      <c r="C23" s="14">
        <v>6.5</v>
      </c>
      <c r="D23" s="15">
        <f t="shared" si="0"/>
        <v>8.1341000000000001</v>
      </c>
    </row>
    <row r="24" spans="1:4" ht="18" x14ac:dyDescent="0.25">
      <c r="A24" s="12">
        <v>2000</v>
      </c>
      <c r="B24" s="13">
        <v>1363.6</v>
      </c>
      <c r="C24" s="14">
        <v>6.2</v>
      </c>
      <c r="D24" s="15">
        <f t="shared" si="0"/>
        <v>8.1244800000000001</v>
      </c>
    </row>
    <row r="25" spans="1:4" ht="18" x14ac:dyDescent="0.25">
      <c r="A25" s="12">
        <v>2001</v>
      </c>
      <c r="B25" s="13">
        <v>1385.1</v>
      </c>
      <c r="C25" s="14">
        <v>6.1</v>
      </c>
      <c r="D25" s="15">
        <f t="shared" si="0"/>
        <v>8.3835350000000002</v>
      </c>
    </row>
    <row r="26" spans="1:4" ht="18" x14ac:dyDescent="0.25">
      <c r="A26" s="12">
        <v>2002</v>
      </c>
      <c r="B26" s="13">
        <v>1423.2</v>
      </c>
      <c r="C26" s="14">
        <v>6.6</v>
      </c>
      <c r="D26" s="15">
        <f t="shared" si="0"/>
        <v>9.2673899999999989</v>
      </c>
    </row>
    <row r="27" spans="1:4" ht="18" x14ac:dyDescent="0.25">
      <c r="A27" s="12">
        <v>2003</v>
      </c>
      <c r="B27" s="13">
        <v>1456.4</v>
      </c>
      <c r="C27" s="14">
        <v>5.0599999999999996</v>
      </c>
      <c r="D27" s="15">
        <f t="shared" si="0"/>
        <v>7.2853880000000002</v>
      </c>
    </row>
    <row r="28" spans="1:4" ht="18" x14ac:dyDescent="0.25">
      <c r="A28" s="12">
        <v>2004</v>
      </c>
      <c r="B28" s="13">
        <v>1492.7</v>
      </c>
      <c r="C28" s="14">
        <v>6.13</v>
      </c>
      <c r="D28" s="15">
        <f t="shared" si="0"/>
        <v>9.0389914999999998</v>
      </c>
    </row>
    <row r="29" spans="1:4" ht="18" x14ac:dyDescent="0.25">
      <c r="A29" s="12">
        <v>2005</v>
      </c>
      <c r="B29" s="13">
        <v>1538</v>
      </c>
      <c r="C29" s="14">
        <v>6.29</v>
      </c>
      <c r="D29" s="15">
        <f t="shared" si="0"/>
        <v>9.5315514999999991</v>
      </c>
    </row>
    <row r="30" spans="1:4" ht="18" x14ac:dyDescent="0.25">
      <c r="A30" s="12">
        <v>2006</v>
      </c>
      <c r="B30" s="13">
        <v>1601</v>
      </c>
      <c r="C30" s="14">
        <v>6.22</v>
      </c>
      <c r="D30" s="15">
        <f t="shared" si="0"/>
        <v>9.7622899999999984</v>
      </c>
    </row>
    <row r="31" spans="1:4" ht="18" x14ac:dyDescent="0.25">
      <c r="A31" s="12">
        <v>2007</v>
      </c>
      <c r="B31" s="13">
        <v>1676</v>
      </c>
      <c r="C31" s="14">
        <v>8.16</v>
      </c>
      <c r="D31" s="15">
        <f t="shared" si="0"/>
        <v>13.37016</v>
      </c>
    </row>
    <row r="32" spans="1:4" ht="18" x14ac:dyDescent="0.25">
      <c r="A32" s="12">
        <v>2008</v>
      </c>
      <c r="B32" s="13">
        <v>1771</v>
      </c>
      <c r="C32" s="14">
        <v>7.89</v>
      </c>
      <c r="D32" s="15">
        <f t="shared" si="0"/>
        <v>13.598414999999999</v>
      </c>
    </row>
    <row r="33" spans="1:4" ht="18" x14ac:dyDescent="0.25">
      <c r="A33" s="12">
        <v>2009</v>
      </c>
      <c r="B33" s="13">
        <v>1860</v>
      </c>
      <c r="C33" s="14">
        <v>7.66</v>
      </c>
      <c r="D33" s="15">
        <f t="shared" si="0"/>
        <v>13.90673</v>
      </c>
    </row>
    <row r="34" spans="1:4" ht="18" x14ac:dyDescent="0.25">
      <c r="A34" s="12">
        <v>2010</v>
      </c>
      <c r="B34" s="13">
        <v>1961.9</v>
      </c>
      <c r="C34" s="14">
        <v>7.27</v>
      </c>
      <c r="D34" s="15">
        <f t="shared" si="0"/>
        <v>13.892606499999999</v>
      </c>
    </row>
    <row r="35" spans="1:4" ht="18" x14ac:dyDescent="0.25">
      <c r="A35" s="12">
        <v>2011</v>
      </c>
      <c r="B35" s="13">
        <v>2023.8</v>
      </c>
      <c r="C35" s="14">
        <v>8.2799999999999994</v>
      </c>
      <c r="D35" s="15">
        <f t="shared" si="0"/>
        <v>16.500798</v>
      </c>
    </row>
    <row r="36" spans="1:4" ht="18" x14ac:dyDescent="0.25">
      <c r="A36" s="12">
        <v>2012</v>
      </c>
      <c r="B36" s="13">
        <v>2077.5</v>
      </c>
      <c r="C36" s="14">
        <v>9.02</v>
      </c>
      <c r="D36" s="15">
        <f t="shared" si="0"/>
        <v>18.496863000000001</v>
      </c>
    </row>
    <row r="37" spans="1:4" ht="18" x14ac:dyDescent="0.25">
      <c r="A37" s="12">
        <v>2013</v>
      </c>
      <c r="B37" s="13">
        <v>2125.4</v>
      </c>
      <c r="C37" s="14">
        <v>8.89</v>
      </c>
      <c r="D37" s="15">
        <f t="shared" si="0"/>
        <v>18.681890500000002</v>
      </c>
    </row>
    <row r="38" spans="1:4" ht="18" x14ac:dyDescent="0.25">
      <c r="A38" s="12">
        <v>2014</v>
      </c>
      <c r="B38" s="13">
        <v>2171.1</v>
      </c>
      <c r="C38" s="14">
        <v>9.69</v>
      </c>
      <c r="D38" s="15">
        <f t="shared" si="0"/>
        <v>20.816542500000001</v>
      </c>
    </row>
    <row r="39" spans="1:4" ht="18" x14ac:dyDescent="0.25">
      <c r="A39" s="12">
        <v>2015</v>
      </c>
      <c r="B39" s="13">
        <v>2188.3000000000002</v>
      </c>
      <c r="C39" s="14">
        <v>7.89</v>
      </c>
      <c r="D39" s="15">
        <f t="shared" si="0"/>
        <v>17.197832999999999</v>
      </c>
    </row>
    <row r="40" spans="1:4" ht="18" x14ac:dyDescent="0.25">
      <c r="A40" s="12">
        <v>2016</v>
      </c>
      <c r="B40" s="13">
        <v>2195.4</v>
      </c>
      <c r="C40" s="12">
        <v>9.23</v>
      </c>
      <c r="D40" s="15">
        <f t="shared" si="0"/>
        <v>20.230775500000004</v>
      </c>
    </row>
    <row r="41" spans="1:4" ht="18" x14ac:dyDescent="0.25">
      <c r="A41" s="12">
        <v>2017</v>
      </c>
      <c r="B41" s="13">
        <v>2194.4</v>
      </c>
      <c r="C41" s="12">
        <v>8.9700000000000006</v>
      </c>
      <c r="D41" s="15">
        <f t="shared" si="0"/>
        <v>19.688253</v>
      </c>
    </row>
    <row r="42" spans="1:4" ht="18" x14ac:dyDescent="0.25">
      <c r="A42" s="12">
        <v>2018</v>
      </c>
      <c r="B42" s="13">
        <v>2191.6999999999998</v>
      </c>
      <c r="C42" s="12">
        <v>8.1300000000000008</v>
      </c>
      <c r="D42" s="15">
        <f t="shared" si="0"/>
        <v>17.829496500000005</v>
      </c>
    </row>
    <row r="43" spans="1:4" ht="18" x14ac:dyDescent="0.25">
      <c r="A43" s="12">
        <v>2019</v>
      </c>
      <c r="B43" s="13">
        <v>2190.1</v>
      </c>
      <c r="C43" s="12">
        <v>7.98</v>
      </c>
      <c r="D43" s="15">
        <f t="shared" si="0"/>
        <v>17.483381999999999</v>
      </c>
    </row>
    <row r="44" spans="1:4" ht="18" x14ac:dyDescent="0.25">
      <c r="A44" s="12">
        <v>2020</v>
      </c>
      <c r="B44" s="13">
        <v>2189</v>
      </c>
      <c r="C44" s="12">
        <v>6.98</v>
      </c>
      <c r="D44" s="15">
        <f t="shared" si="0"/>
        <v>15.283059000000003</v>
      </c>
    </row>
    <row r="45" spans="1:4" ht="18" x14ac:dyDescent="0.25">
      <c r="A45" s="12">
        <v>2021</v>
      </c>
      <c r="B45" s="13">
        <v>2188.6</v>
      </c>
      <c r="C45" s="12">
        <v>6.35</v>
      </c>
      <c r="D45" s="15">
        <f t="shared" si="0"/>
        <v>13.898880000000002</v>
      </c>
    </row>
    <row r="46" spans="1:4" ht="18" x14ac:dyDescent="0.25">
      <c r="A46" s="12">
        <v>2022</v>
      </c>
      <c r="B46" s="13">
        <v>2184.3000000000002</v>
      </c>
      <c r="C46" s="12">
        <v>5.67</v>
      </c>
      <c r="D46" s="15">
        <f t="shared" si="0"/>
        <v>12.397171499999999</v>
      </c>
    </row>
    <row r="47" spans="1:4" ht="18" x14ac:dyDescent="0.25">
      <c r="A47" s="12">
        <v>2023</v>
      </c>
      <c r="B47" s="13">
        <v>2185.8000000000002</v>
      </c>
      <c r="C47" s="12">
        <v>5.63</v>
      </c>
      <c r="D47" s="15">
        <f t="shared" si="0"/>
        <v>12.3018315</v>
      </c>
    </row>
    <row r="48" spans="1:4" ht="18" x14ac:dyDescent="0.25">
      <c r="A48" s="12">
        <v>2024</v>
      </c>
      <c r="B48" s="13">
        <v>2183.1999999999998</v>
      </c>
      <c r="C48" s="12">
        <v>6.09</v>
      </c>
      <c r="D48" s="15">
        <f t="shared" si="0"/>
        <v>13.303604999999999</v>
      </c>
    </row>
    <row r="49" spans="1:4" ht="18" x14ac:dyDescent="0.25">
      <c r="A49" s="12">
        <v>2025</v>
      </c>
      <c r="B49" s="13">
        <v>2180</v>
      </c>
      <c r="C49" s="12">
        <v>5.55</v>
      </c>
      <c r="D49" s="15">
        <f t="shared" si="0"/>
        <v>12.10788</v>
      </c>
    </row>
    <row r="50" spans="1:4" ht="70.8" customHeight="1" x14ac:dyDescent="0.25">
      <c r="A50" s="5" t="s">
        <v>4</v>
      </c>
      <c r="B50" s="6"/>
      <c r="C50" s="6"/>
      <c r="D50" s="6"/>
    </row>
    <row r="51" spans="1:4" ht="18" x14ac:dyDescent="0.35">
      <c r="A51" s="2" t="s">
        <v>2</v>
      </c>
      <c r="B51" s="3"/>
      <c r="C51" s="3"/>
      <c r="D51" s="4"/>
    </row>
    <row r="52" spans="1:4" ht="86.4" customHeight="1" x14ac:dyDescent="0.25">
      <c r="A52" s="7" t="s">
        <v>7</v>
      </c>
      <c r="B52" s="7"/>
      <c r="C52" s="7"/>
      <c r="D52" s="7"/>
    </row>
    <row r="53" spans="1:4" ht="15.6" x14ac:dyDescent="0.25">
      <c r="A53" s="8" t="s">
        <v>6</v>
      </c>
      <c r="B53" s="8"/>
      <c r="C53" s="8"/>
      <c r="D53" s="8"/>
    </row>
  </sheetData>
  <mergeCells count="3">
    <mergeCell ref="A50:D50"/>
    <mergeCell ref="A52:D52"/>
    <mergeCell ref="A53:D5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2026-09-29T07:18:04Z</dcterms:modified>
</cp:coreProperties>
</file>