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甘肃省\"/>
    </mc:Choice>
  </mc:AlternateContent>
  <xr:revisionPtr revIDLastSave="0" documentId="13_ncr:1_{ED7C279E-290B-4774-B48D-ECC306F755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4" i="1"/>
</calcChain>
</file>

<file path=xl/sharedStrings.xml><?xml version="1.0" encoding="utf-8"?>
<sst xmlns="http://schemas.openxmlformats.org/spreadsheetml/2006/main" count="7" uniqueCount="7">
  <si>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</si>
  <si>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</si>
  <si>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</si>
  <si>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</si>
  <si>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0"/>
        <rFont val="楷体"/>
        <family val="3"/>
        <charset val="134"/>
      </rPr>
      <t>注：</t>
    </r>
    <r>
      <rPr>
        <sz val="10"/>
        <rFont val="Times New Roman"/>
        <family val="1"/>
      </rPr>
      <t>1.1981</t>
    </r>
    <r>
      <rPr>
        <sz val="10"/>
        <rFont val="楷体"/>
        <family val="3"/>
        <charset val="134"/>
      </rPr>
      <t>年及以前数据为户籍统计数；</t>
    </r>
    <r>
      <rPr>
        <sz val="10"/>
        <rFont val="Times New Roman"/>
        <family val="1"/>
      </rPr>
      <t>1982</t>
    </r>
    <r>
      <rPr>
        <sz val="10"/>
        <rFont val="楷体"/>
        <family val="3"/>
        <charset val="134"/>
      </rPr>
      <t>、</t>
    </r>
    <r>
      <rPr>
        <sz val="10"/>
        <rFont val="Times New Roman"/>
        <family val="1"/>
      </rPr>
      <t>1990</t>
    </r>
    <r>
      <rPr>
        <sz val="10"/>
        <rFont val="楷体"/>
        <family val="3"/>
        <charset val="134"/>
      </rPr>
      <t>、</t>
    </r>
    <r>
      <rPr>
        <sz val="10"/>
        <rFont val="Times New Roman"/>
        <family val="1"/>
      </rPr>
      <t>2000</t>
    </r>
    <r>
      <rPr>
        <sz val="10"/>
        <rFont val="楷体"/>
        <family val="3"/>
        <charset val="134"/>
      </rPr>
      <t>、</t>
    </r>
    <r>
      <rPr>
        <sz val="10"/>
        <rFont val="Times New Roman"/>
        <family val="1"/>
      </rPr>
      <t>2010</t>
    </r>
    <r>
      <rPr>
        <sz val="10"/>
        <rFont val="楷体"/>
        <family val="3"/>
        <charset val="134"/>
      </rPr>
      <t>、</t>
    </r>
    <r>
      <rPr>
        <sz val="10"/>
        <rFont val="Times New Roman"/>
        <family val="1"/>
      </rPr>
      <t>2020</t>
    </r>
    <r>
      <rPr>
        <sz val="10"/>
        <rFont val="楷体"/>
        <family val="3"/>
        <charset val="134"/>
      </rPr>
      <t>年数据为当年人口普查数据推算数</t>
    </r>
    <r>
      <rPr>
        <sz val="10"/>
        <rFont val="Times New Roman"/>
        <family val="1"/>
      </rPr>
      <t>,</t>
    </r>
    <r>
      <rPr>
        <sz val="10"/>
        <rFont val="楷体"/>
        <family val="3"/>
        <charset val="134"/>
      </rPr>
      <t>其余年份数据为年度人口抽样调查推算数据；</t>
    </r>
    <r>
      <rPr>
        <sz val="10"/>
        <rFont val="Times New Roman"/>
        <family val="1"/>
      </rPr>
      <t>2</t>
    </r>
    <r>
      <rPr>
        <sz val="10"/>
        <rFont val="楷体"/>
        <family val="3"/>
        <charset val="134"/>
      </rPr>
      <t>.</t>
    </r>
    <r>
      <rPr>
        <sz val="10"/>
        <rFont val="Times New Roman"/>
        <family val="1"/>
      </rPr>
      <t>2000</t>
    </r>
    <r>
      <rPr>
        <sz val="10"/>
        <rFont val="楷体"/>
        <family val="3"/>
        <charset val="134"/>
      </rPr>
      <t>年及以后数据为常住人口口径；</t>
    </r>
    <r>
      <rPr>
        <sz val="10"/>
        <rFont val="Times New Roman"/>
        <family val="1"/>
      </rPr>
      <t>3</t>
    </r>
    <r>
      <rPr>
        <sz val="10"/>
        <rFont val="楷体"/>
        <family val="3"/>
        <charset val="134"/>
      </rPr>
      <t>.根据第七次全国人口普查结果，修订了</t>
    </r>
    <r>
      <rPr>
        <sz val="10"/>
        <rFont val="Times New Roman"/>
        <family val="1"/>
      </rPr>
      <t>2011</t>
    </r>
    <r>
      <rPr>
        <sz val="10"/>
        <rFont val="微软雅黑"/>
        <family val="1"/>
        <charset val="134"/>
      </rPr>
      <t>~</t>
    </r>
    <r>
      <rPr>
        <sz val="10"/>
        <rFont val="Times New Roman"/>
        <family val="1"/>
      </rPr>
      <t>2019</t>
    </r>
    <r>
      <rPr>
        <sz val="10"/>
        <rFont val="楷体"/>
        <family val="3"/>
        <charset val="134"/>
      </rPr>
      <t>年年末常住人口数。</t>
    </r>
    <phoneticPr fontId="3" type="noConversion"/>
  </si>
  <si>
    <r>
      <rPr>
        <b/>
        <sz val="12"/>
        <color theme="1"/>
        <rFont val="楷体"/>
        <family val="3"/>
        <charset val="134"/>
      </rPr>
      <t>出生人口计算公式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（当年总人口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上年总人口）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</si>
  <si>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年以前数据来源：</t>
    </r>
    <r>
      <rPr>
        <b/>
        <sz val="12"/>
        <color theme="1"/>
        <rFont val="Times New Roman"/>
        <family val="1"/>
      </rPr>
      <t>1979~2024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数据和所有年份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数据分别来源于《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年甘肃省统计年鉴》中“年末常住人口”和“出生率”，</t>
    </r>
    <r>
      <rPr>
        <b/>
        <sz val="12"/>
        <color theme="1"/>
        <rFont val="Times New Roman"/>
        <family val="1"/>
      </rPr>
      <t>1978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2010</t>
    </r>
    <r>
      <rPr>
        <b/>
        <sz val="12"/>
        <color theme="1"/>
        <rFont val="楷体"/>
        <family val="3"/>
        <charset val="134"/>
      </rPr>
      <t>年甘肃省统计年鉴》。</t>
    </r>
    <r>
      <rPr>
        <b/>
        <sz val="12"/>
        <color theme="1"/>
        <rFont val="Times New Roman"/>
        <family val="1"/>
      </rPr>
      <t>2010</t>
    </r>
    <r>
      <rPr>
        <b/>
        <sz val="12"/>
        <color theme="1"/>
        <rFont val="楷体"/>
        <family val="3"/>
        <charset val="134"/>
      </rPr>
      <t>年以前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数据直接来源于《</t>
    </r>
    <r>
      <rPr>
        <b/>
        <sz val="12"/>
        <color theme="1"/>
        <rFont val="Times New Roman"/>
        <family val="1"/>
      </rPr>
      <t>2010</t>
    </r>
    <r>
      <rPr>
        <b/>
        <sz val="12"/>
        <color theme="1"/>
        <rFont val="楷体"/>
        <family val="3"/>
        <charset val="134"/>
      </rPr>
      <t>年甘肃省统计年鉴》中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；</t>
    </r>
    <r>
      <rPr>
        <b/>
        <sz val="12"/>
        <color theme="1"/>
        <rFont val="Times New Roman"/>
        <family val="1"/>
      </rPr>
      <t>2010~2025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数据通过公式计算得出。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年数据来源于《甘肃省国民经济和社会发展统计公报》，其中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</si>
</sst>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6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8"/>
      <name val="方正报宋简体"/>
      <charset val="134"/>
    </font>
    <font>
      <sz val="11"/>
      <color indexed="8"/>
      <name val="宋体"/>
      <family val="3"/>
      <charset val="134"/>
    </font>
    <font>
      <sz val="10"/>
      <name val="楷体"/>
      <family val="3"/>
      <charset val="134"/>
    </font>
    <font>
      <sz val="10"/>
      <name val="Times New Roman"/>
      <family val="1"/>
    </font>
    <font>
      <sz val="14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Times New Roman"/>
      <family val="3"/>
      <charset val="134"/>
    </font>
    <font>
      <b/>
      <sz val="12"/>
      <color theme="1"/>
      <name val="楷体"/>
      <family val="1"/>
      <charset val="134"/>
    </font>
    <font>
      <sz val="10"/>
      <name val="Times New Roman"/>
      <family val="3"/>
      <charset val="134"/>
    </font>
    <font>
      <sz val="10"/>
      <name val="微软雅黑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2" borderId="2" applyFill="0" applyBorder="0">
      <alignment horizontal="center" vertical="center" wrapText="1"/>
    </xf>
    <xf numFmtId="0" fontId="5" fillId="0" borderId="0" applyFill="0" applyBorder="0">
      <alignment vertical="center" wrapText="1"/>
    </xf>
    <xf numFmtId="0" fontId="6" fillId="0" borderId="0">
      <alignment vertical="top"/>
      <protection locked="0"/>
    </xf>
    <xf numFmtId="0" fontId="6" fillId="0" borderId="0">
      <alignment vertical="top"/>
      <protection locked="0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9" fillId="0" borderId="1" xfId="1" applyFont="1" applyFill="1" applyBorder="1" applyAlignment="1">
      <alignment horizontal="right" vertical="center" wrapText="1"/>
    </xf>
    <xf numFmtId="176" fontId="9" fillId="0" borderId="1" xfId="2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2" fontId="9" fillId="3" borderId="1" xfId="3" applyNumberFormat="1" applyFont="1" applyFill="1" applyBorder="1" applyAlignment="1">
      <alignment horizontal="right" vertical="center" wrapText="1"/>
      <protection locked="0"/>
    </xf>
    <xf numFmtId="0" fontId="14" fillId="3" borderId="1" xfId="4" applyFont="1" applyFill="1" applyBorder="1" applyAlignment="1">
      <alignment horizontal="left" vertical="center" wrapText="1"/>
      <protection locked="0"/>
    </xf>
    <xf numFmtId="0" fontId="8" fillId="3" borderId="1" xfId="4" applyFont="1" applyFill="1" applyBorder="1" applyAlignment="1">
      <alignment horizontal="left" vertical="center" wrapText="1"/>
      <protection locked="0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176" fontId="9" fillId="3" borderId="1" xfId="4" applyNumberFormat="1" applyFont="1" applyFill="1" applyBorder="1" applyAlignment="1">
      <alignment horizontal="right" vertical="center" wrapText="1"/>
      <protection locked="0"/>
    </xf>
  </cellXfs>
  <cellStyles count="5">
    <cellStyle name="Normal_1" xfId="4" xr:uid="{E3F2F238-90A9-41A8-B401-7CF29D5FBB6A}"/>
    <cellStyle name="Normal_2" xfId="3" xr:uid="{5CB72385-AFD8-42D0-BA50-1DB64923D760}"/>
    <cellStyle name="常规" xfId="0" builtinId="0"/>
    <cellStyle name="正文数据" xfId="2" xr:uid="{73B5EEAA-3724-451A-A9D7-929C4F27723F}"/>
    <cellStyle name="正文数据居中" xfId="1" xr:uid="{3CE70FBB-AF96-464D-89BC-44D8F9503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8" workbookViewId="0">
      <selection activeCell="B49" sqref="B2:B49"/>
    </sheetView>
  </sheetViews>
  <sheetFormatPr defaultRowHeight="13.8"/>
  <cols>
    <col min="2" max="2" width="24.109375" bestFit="1" customWidth="1"/>
    <col min="3" max="3" width="18.109375" bestFit="1" customWidth="1"/>
    <col min="4" max="4" width="24.109375" bestFit="1" customWidth="1"/>
  </cols>
  <sheetData>
    <row r="1" spans="1:4" ht="18.600000000000001">
      <c r="A1" s="4" t="s">
        <v>0</v>
      </c>
      <c r="B1" s="4" t="s">
        <v>3</v>
      </c>
      <c r="C1" s="4" t="s">
        <v>1</v>
      </c>
      <c r="D1" s="5" t="s">
        <v>2</v>
      </c>
    </row>
    <row r="2" spans="1:4" ht="18">
      <c r="A2" s="2">
        <v>1978</v>
      </c>
      <c r="B2" s="5">
        <v>1870.05</v>
      </c>
      <c r="C2" s="4">
        <v>17.77</v>
      </c>
      <c r="D2" s="3">
        <v>33.230800000000002</v>
      </c>
    </row>
    <row r="3" spans="1:4" ht="18">
      <c r="A3" s="2">
        <v>1979</v>
      </c>
      <c r="B3" s="11">
        <v>1893.79</v>
      </c>
      <c r="C3" s="4"/>
      <c r="D3" s="5"/>
    </row>
    <row r="4" spans="1:4" ht="18">
      <c r="A4" s="2">
        <v>1980</v>
      </c>
      <c r="B4" s="11">
        <v>1918.43</v>
      </c>
      <c r="C4" s="4">
        <v>16.53</v>
      </c>
      <c r="D4" s="3">
        <v>31.711600000000001</v>
      </c>
    </row>
    <row r="5" spans="1:4" ht="18">
      <c r="A5" s="2">
        <v>1981</v>
      </c>
      <c r="B5" s="11">
        <v>1941.4</v>
      </c>
      <c r="C5" s="4"/>
      <c r="D5" s="5"/>
    </row>
    <row r="6" spans="1:4" ht="18">
      <c r="A6" s="2">
        <v>1982</v>
      </c>
      <c r="B6" s="11">
        <v>1974.88</v>
      </c>
      <c r="C6" s="4"/>
      <c r="D6" s="5"/>
    </row>
    <row r="7" spans="1:4" ht="18">
      <c r="A7" s="2">
        <v>1983</v>
      </c>
      <c r="B7" s="11">
        <v>1999.84</v>
      </c>
      <c r="C7" s="4"/>
      <c r="D7" s="5"/>
    </row>
    <row r="8" spans="1:4" ht="18">
      <c r="A8" s="2">
        <v>1984</v>
      </c>
      <c r="B8" s="11">
        <v>2025.88</v>
      </c>
      <c r="C8" s="4"/>
      <c r="D8" s="5"/>
    </row>
    <row r="9" spans="1:4" ht="18">
      <c r="A9" s="2">
        <v>1985</v>
      </c>
      <c r="B9" s="11">
        <v>2052.89</v>
      </c>
      <c r="C9" s="4"/>
      <c r="D9" s="5">
        <v>37.5884</v>
      </c>
    </row>
    <row r="10" spans="1:4" ht="18">
      <c r="A10" s="2">
        <v>1986</v>
      </c>
      <c r="B10" s="11">
        <v>2085.39</v>
      </c>
      <c r="C10" s="6">
        <v>21.14</v>
      </c>
      <c r="D10" s="5">
        <v>44.085099999999997</v>
      </c>
    </row>
    <row r="11" spans="1:4" ht="18">
      <c r="A11" s="2">
        <v>1987</v>
      </c>
      <c r="B11" s="11">
        <v>2115.73</v>
      </c>
      <c r="C11" s="6">
        <v>20.55</v>
      </c>
      <c r="D11" s="5">
        <v>43.478299999999997</v>
      </c>
    </row>
    <row r="12" spans="1:4" ht="18">
      <c r="A12" s="2">
        <v>1988</v>
      </c>
      <c r="B12" s="11">
        <v>2148.15</v>
      </c>
      <c r="C12" s="6">
        <v>20.41</v>
      </c>
      <c r="D12" s="5">
        <v>43.843699999999998</v>
      </c>
    </row>
    <row r="13" spans="1:4" ht="18">
      <c r="A13" s="2">
        <v>1989</v>
      </c>
      <c r="B13" s="11">
        <v>2184.86</v>
      </c>
      <c r="C13" s="6">
        <v>22.57</v>
      </c>
      <c r="D13" s="5">
        <v>49.3123</v>
      </c>
    </row>
    <row r="14" spans="1:4" ht="18">
      <c r="A14" s="2">
        <v>1990</v>
      </c>
      <c r="B14" s="11">
        <v>2254.67</v>
      </c>
      <c r="C14" s="6">
        <v>20.68</v>
      </c>
      <c r="D14" s="5">
        <v>46.626600000000003</v>
      </c>
    </row>
    <row r="15" spans="1:4" ht="18">
      <c r="A15" s="2">
        <v>1991</v>
      </c>
      <c r="B15" s="11">
        <v>2284.92</v>
      </c>
      <c r="C15" s="6">
        <v>19.38</v>
      </c>
      <c r="D15" s="5">
        <v>44.281799999999997</v>
      </c>
    </row>
    <row r="16" spans="1:4" ht="18">
      <c r="A16" s="2">
        <v>1992</v>
      </c>
      <c r="B16" s="11">
        <v>2314.19</v>
      </c>
      <c r="C16" s="6">
        <v>19.37</v>
      </c>
      <c r="D16" s="5">
        <v>44.825899999999997</v>
      </c>
    </row>
    <row r="17" spans="1:4" ht="18">
      <c r="A17" s="2">
        <v>1993</v>
      </c>
      <c r="B17" s="11">
        <v>2345.23</v>
      </c>
      <c r="C17" s="6">
        <v>20.16</v>
      </c>
      <c r="D17" s="5">
        <v>47.279800000000002</v>
      </c>
    </row>
    <row r="18" spans="1:4" ht="18">
      <c r="A18" s="2">
        <v>1994</v>
      </c>
      <c r="B18" s="11">
        <v>2387.25</v>
      </c>
      <c r="C18" s="6">
        <v>20.82</v>
      </c>
      <c r="D18" s="5">
        <v>49.702500000000001</v>
      </c>
    </row>
    <row r="19" spans="1:4" ht="18">
      <c r="A19" s="2">
        <v>1995</v>
      </c>
      <c r="B19" s="11">
        <v>2437.9499999999998</v>
      </c>
      <c r="C19" s="6">
        <v>20.65</v>
      </c>
      <c r="D19" s="5">
        <v>50.343699999999998</v>
      </c>
    </row>
    <row r="20" spans="1:4" ht="18">
      <c r="A20" s="2">
        <v>1996</v>
      </c>
      <c r="B20" s="11">
        <v>2466.86</v>
      </c>
      <c r="C20" s="6">
        <v>18.43</v>
      </c>
      <c r="D20" s="5">
        <v>45.464199999999998</v>
      </c>
    </row>
    <row r="21" spans="1:4" ht="18">
      <c r="A21" s="2">
        <v>1997</v>
      </c>
      <c r="B21" s="11">
        <v>2494.1999999999998</v>
      </c>
      <c r="C21" s="6">
        <v>17.22</v>
      </c>
      <c r="D21" s="5">
        <v>42.950099999999999</v>
      </c>
    </row>
    <row r="22" spans="1:4" ht="18">
      <c r="A22" s="2">
        <v>1998</v>
      </c>
      <c r="B22" s="11">
        <v>2519.37</v>
      </c>
      <c r="C22" s="6">
        <v>16.45</v>
      </c>
      <c r="D22" s="5">
        <v>41.443600000000004</v>
      </c>
    </row>
    <row r="23" spans="1:4" ht="18">
      <c r="A23" s="2">
        <v>1999</v>
      </c>
      <c r="B23" s="11">
        <v>2542.58</v>
      </c>
      <c r="C23" s="6">
        <v>15.61</v>
      </c>
      <c r="D23" s="5">
        <v>39.689700000000002</v>
      </c>
    </row>
    <row r="24" spans="1:4" ht="18">
      <c r="A24" s="2">
        <v>2000</v>
      </c>
      <c r="B24" s="11">
        <v>2515.31</v>
      </c>
      <c r="C24" s="6">
        <v>14.38</v>
      </c>
      <c r="D24" s="5">
        <v>36.768099999999997</v>
      </c>
    </row>
    <row r="25" spans="1:4" ht="18">
      <c r="A25" s="2">
        <v>2001</v>
      </c>
      <c r="B25" s="11">
        <v>2523.35</v>
      </c>
      <c r="C25" s="6">
        <v>13.58</v>
      </c>
      <c r="D25" s="5">
        <v>34.971699999999998</v>
      </c>
    </row>
    <row r="26" spans="1:4" ht="18">
      <c r="A26" s="2">
        <v>2002</v>
      </c>
      <c r="B26" s="11">
        <v>2530.7600000000002</v>
      </c>
      <c r="C26" s="6">
        <v>13.16</v>
      </c>
      <c r="D26" s="5">
        <v>34.004300000000001</v>
      </c>
    </row>
    <row r="27" spans="1:4" ht="18">
      <c r="A27" s="2">
        <v>2003</v>
      </c>
      <c r="B27" s="11">
        <v>2537.19</v>
      </c>
      <c r="C27" s="6">
        <v>12.58</v>
      </c>
      <c r="D27" s="5">
        <v>32.714799999999997</v>
      </c>
    </row>
    <row r="28" spans="1:4" ht="18">
      <c r="A28" s="2">
        <v>2004</v>
      </c>
      <c r="B28" s="11">
        <v>2541.48</v>
      </c>
      <c r="C28" s="6">
        <v>12.43</v>
      </c>
      <c r="D28" s="5">
        <v>32.455399999999997</v>
      </c>
    </row>
    <row r="29" spans="1:4" ht="18">
      <c r="A29" s="2">
        <v>2005</v>
      </c>
      <c r="B29" s="11">
        <v>2545.1</v>
      </c>
      <c r="C29" s="6">
        <v>12.59</v>
      </c>
      <c r="D29" s="5">
        <v>32.566899999999997</v>
      </c>
    </row>
    <row r="30" spans="1:4" ht="18">
      <c r="A30" s="2">
        <v>2006</v>
      </c>
      <c r="B30" s="11">
        <v>2546.79</v>
      </c>
      <c r="C30" s="6">
        <v>12.86</v>
      </c>
      <c r="D30" s="5">
        <v>33.471800000000002</v>
      </c>
    </row>
    <row r="31" spans="1:4" ht="18">
      <c r="A31" s="2">
        <v>2007</v>
      </c>
      <c r="B31" s="11">
        <v>2548.19</v>
      </c>
      <c r="C31" s="6">
        <v>13.14</v>
      </c>
      <c r="D31" s="5">
        <v>34.3626</v>
      </c>
    </row>
    <row r="32" spans="1:4" ht="18">
      <c r="A32" s="2">
        <v>2008</v>
      </c>
      <c r="B32" s="11">
        <v>2550.88</v>
      </c>
      <c r="C32" s="6">
        <v>13.22</v>
      </c>
      <c r="D32" s="5">
        <v>34.713700000000003</v>
      </c>
    </row>
    <row r="33" spans="1:4" ht="18">
      <c r="A33" s="2">
        <v>2009</v>
      </c>
      <c r="B33" s="11">
        <v>2554.91</v>
      </c>
      <c r="C33" s="6">
        <v>13.32</v>
      </c>
      <c r="D33" s="5">
        <v>35.124299999999998</v>
      </c>
    </row>
    <row r="34" spans="1:4" ht="18">
      <c r="A34" s="2">
        <v>2010</v>
      </c>
      <c r="B34" s="11">
        <v>2559.98</v>
      </c>
      <c r="C34" s="6">
        <v>12.05</v>
      </c>
      <c r="D34" s="5">
        <f>(B33+B34)/2*C34/1000</f>
        <v>30.817212249999997</v>
      </c>
    </row>
    <row r="35" spans="1:4" ht="18">
      <c r="A35" s="2">
        <v>2011</v>
      </c>
      <c r="B35" s="11">
        <v>2551.7297657506501</v>
      </c>
      <c r="C35" s="6">
        <v>12.08</v>
      </c>
      <c r="D35" s="5">
        <f t="shared" ref="D35:D48" si="0">(B34+B35)/2*C35/1000</f>
        <v>30.874726985133925</v>
      </c>
    </row>
    <row r="36" spans="1:4" ht="18">
      <c r="A36" s="2">
        <v>2012</v>
      </c>
      <c r="B36" s="11">
        <v>2550.1463534898498</v>
      </c>
      <c r="C36" s="6">
        <v>12.11</v>
      </c>
      <c r="D36" s="5">
        <f t="shared" si="0"/>
        <v>30.891859902001226</v>
      </c>
    </row>
    <row r="37" spans="1:4" ht="18">
      <c r="A37" s="2">
        <v>2013</v>
      </c>
      <c r="B37" s="11">
        <v>2537.12790144271</v>
      </c>
      <c r="C37" s="6">
        <v>12.16</v>
      </c>
      <c r="D37" s="5">
        <f t="shared" si="0"/>
        <v>30.930627469989961</v>
      </c>
    </row>
    <row r="38" spans="1:4" ht="18">
      <c r="A38" s="2">
        <v>2014</v>
      </c>
      <c r="B38" s="11">
        <v>2531.0757575787402</v>
      </c>
      <c r="C38" s="6">
        <v>12.21</v>
      </c>
      <c r="D38" s="5">
        <f t="shared" si="0"/>
        <v>30.941383338325956</v>
      </c>
    </row>
    <row r="39" spans="1:4" ht="18">
      <c r="A39" s="2">
        <v>2015</v>
      </c>
      <c r="B39" s="11">
        <v>2523.18465957018</v>
      </c>
      <c r="C39" s="6">
        <v>12.36</v>
      </c>
      <c r="D39" s="5">
        <f t="shared" si="0"/>
        <v>31.235329377980324</v>
      </c>
    </row>
    <row r="40" spans="1:4" ht="18">
      <c r="A40" s="2">
        <v>2016</v>
      </c>
      <c r="B40" s="11">
        <v>2520.0971706724099</v>
      </c>
      <c r="C40" s="6">
        <v>12.18</v>
      </c>
      <c r="D40" s="5">
        <f t="shared" si="0"/>
        <v>30.713586346177369</v>
      </c>
    </row>
    <row r="41" spans="1:4" ht="18">
      <c r="A41" s="2">
        <v>2017</v>
      </c>
      <c r="B41" s="11">
        <v>2522.0684389829398</v>
      </c>
      <c r="C41" s="6">
        <v>12.54</v>
      </c>
      <c r="D41" s="5">
        <f t="shared" si="0"/>
        <v>31.614378372539043</v>
      </c>
    </row>
    <row r="42" spans="1:4" ht="18">
      <c r="A42" s="2">
        <v>2018</v>
      </c>
      <c r="B42" s="11">
        <v>2515.0801165164598</v>
      </c>
      <c r="C42" s="6">
        <v>11.07</v>
      </c>
      <c r="D42" s="5">
        <f t="shared" si="0"/>
        <v>27.880617254689181</v>
      </c>
    </row>
    <row r="43" spans="1:4" ht="18">
      <c r="A43" s="2">
        <v>2019</v>
      </c>
      <c r="B43" s="11">
        <v>2509.0179726524898</v>
      </c>
      <c r="C43" s="6">
        <v>10.6</v>
      </c>
      <c r="D43" s="5">
        <f t="shared" si="0"/>
        <v>26.627719872595431</v>
      </c>
    </row>
    <row r="44" spans="1:4" ht="18">
      <c r="A44" s="2">
        <v>2020</v>
      </c>
      <c r="B44" s="11">
        <v>2501.02</v>
      </c>
      <c r="C44" s="6">
        <v>10.55</v>
      </c>
      <c r="D44" s="5">
        <f t="shared" si="0"/>
        <v>26.427950305741884</v>
      </c>
    </row>
    <row r="45" spans="1:4" ht="18">
      <c r="A45" s="2">
        <v>2021</v>
      </c>
      <c r="B45" s="11">
        <v>2490.0156678542498</v>
      </c>
      <c r="C45" s="6">
        <v>9.68</v>
      </c>
      <c r="D45" s="5">
        <f t="shared" si="0"/>
        <v>24.156612632414571</v>
      </c>
    </row>
    <row r="46" spans="1:4" ht="18">
      <c r="A46" s="2">
        <v>2022</v>
      </c>
      <c r="B46" s="11">
        <v>2492.42</v>
      </c>
      <c r="C46" s="6">
        <v>8.4699897516255707</v>
      </c>
      <c r="D46" s="5">
        <f t="shared" si="0"/>
        <v>21.100589522429601</v>
      </c>
    </row>
    <row r="47" spans="1:4" ht="18">
      <c r="A47" s="2">
        <v>2023</v>
      </c>
      <c r="B47" s="11">
        <v>2465.47901140877</v>
      </c>
      <c r="C47" s="6">
        <v>7.71</v>
      </c>
      <c r="D47" s="5">
        <f t="shared" si="0"/>
        <v>19.112700688980809</v>
      </c>
    </row>
    <row r="48" spans="1:4" ht="18">
      <c r="A48" s="2">
        <v>2024</v>
      </c>
      <c r="B48" s="11">
        <v>2458.3356942568398</v>
      </c>
      <c r="C48" s="6">
        <v>7.9974554014750998</v>
      </c>
      <c r="D48" s="5">
        <f t="shared" si="0"/>
        <v>19.68899425684398</v>
      </c>
    </row>
    <row r="49" spans="1:4" ht="18">
      <c r="A49" s="2">
        <v>2025</v>
      </c>
      <c r="B49" s="5">
        <v>2443</v>
      </c>
      <c r="C49" s="4">
        <v>6.65</v>
      </c>
      <c r="D49" s="5">
        <v>16.3</v>
      </c>
    </row>
    <row r="50" spans="1:4" ht="56.4" customHeight="1">
      <c r="A50" s="7" t="s">
        <v>4</v>
      </c>
      <c r="B50" s="8"/>
      <c r="C50" s="8"/>
      <c r="D50" s="8"/>
    </row>
    <row r="51" spans="1:4">
      <c r="A51" s="1"/>
      <c r="B51" s="1"/>
      <c r="C51" s="1"/>
      <c r="D51" s="1"/>
    </row>
    <row r="52" spans="1:4" ht="132.6" customHeight="1">
      <c r="A52" s="10" t="s">
        <v>6</v>
      </c>
      <c r="B52" s="9"/>
      <c r="C52" s="9"/>
      <c r="D52" s="9"/>
    </row>
    <row r="53" spans="1:4" ht="18" customHeight="1">
      <c r="A53" s="9" t="s">
        <v>5</v>
      </c>
      <c r="B53" s="9"/>
      <c r="C53" s="9"/>
      <c r="D53" s="9"/>
    </row>
  </sheetData>
  <mergeCells count="3">
    <mergeCell ref="A50:D50"/>
    <mergeCell ref="A53:D53"/>
    <mergeCell ref="A52:D5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2026-09-29T07:18:37Z</dcterms:modified>
</cp:coreProperties>
</file>