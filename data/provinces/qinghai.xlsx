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ome\Desktop\web\青海省\"/>
    </mc:Choice>
  </mc:AlternateContent>
  <xr:revisionPtr revIDLastSave="0" documentId="13_ncr:1_{CD3B2505-135D-4129-83AB-EBC2C948F94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9" i="1" l="1"/>
</calcChain>
</file>

<file path=xl/sharedStrings.xml><?xml version="1.0" encoding="utf-8"?>
<sst xmlns="http://schemas.openxmlformats.org/spreadsheetml/2006/main" count="7" uniqueCount="7">
  <si>
    <r>
      <rPr>
        <sz val="14"/>
        <color theme="1"/>
        <rFont val="楷体"/>
        <family val="3"/>
        <charset val="134"/>
      </rPr>
      <t>年份</t>
    </r>
    <phoneticPr fontId="4" type="noConversion"/>
  </si>
  <si>
    <r>
      <rPr>
        <sz val="14"/>
        <color theme="1"/>
        <rFont val="楷体"/>
        <family val="3"/>
        <charset val="134"/>
      </rPr>
      <t>出生率（</t>
    </r>
    <r>
      <rPr>
        <sz val="14"/>
        <color theme="1"/>
        <rFont val="Times New Roman"/>
        <family val="1"/>
      </rPr>
      <t>‰</t>
    </r>
    <r>
      <rPr>
        <sz val="14"/>
        <color theme="1"/>
        <rFont val="楷体"/>
        <family val="3"/>
        <charset val="134"/>
      </rPr>
      <t>）</t>
    </r>
    <phoneticPr fontId="4" type="noConversion"/>
  </si>
  <si>
    <r>
      <rPr>
        <sz val="14"/>
        <color theme="1"/>
        <rFont val="楷体"/>
        <family val="3"/>
        <charset val="134"/>
      </rPr>
      <t>总人口（万人）</t>
    </r>
    <phoneticPr fontId="4" type="noConversion"/>
  </si>
  <si>
    <r>
      <rPr>
        <sz val="14"/>
        <color theme="1"/>
        <rFont val="楷体"/>
        <family val="3"/>
        <charset val="134"/>
      </rPr>
      <t>出生人口（万人）</t>
    </r>
    <phoneticPr fontId="4" type="noConversion"/>
  </si>
  <si>
    <r>
      <rPr>
        <sz val="10"/>
        <color theme="1"/>
        <rFont val="楷体"/>
        <family val="3"/>
        <charset val="134"/>
      </rPr>
      <t>注：</t>
    </r>
    <r>
      <rPr>
        <sz val="10"/>
        <color theme="1"/>
        <rFont val="Times New Roman"/>
        <family val="1"/>
      </rPr>
      <t>1.1990</t>
    </r>
    <r>
      <rPr>
        <sz val="10"/>
        <color theme="1"/>
        <rFont val="楷体"/>
        <family val="3"/>
        <charset val="134"/>
      </rPr>
      <t>、</t>
    </r>
    <r>
      <rPr>
        <sz val="10"/>
        <color theme="1"/>
        <rFont val="Times New Roman"/>
        <family val="1"/>
      </rPr>
      <t>2000</t>
    </r>
    <r>
      <rPr>
        <sz val="10"/>
        <color theme="1"/>
        <rFont val="楷体"/>
        <family val="3"/>
        <charset val="134"/>
      </rPr>
      <t>、</t>
    </r>
    <r>
      <rPr>
        <sz val="10"/>
        <color theme="1"/>
        <rFont val="Times New Roman"/>
        <family val="1"/>
      </rPr>
      <t>2010</t>
    </r>
    <r>
      <rPr>
        <sz val="10"/>
        <color theme="1"/>
        <rFont val="楷体"/>
        <family val="3"/>
        <charset val="134"/>
      </rPr>
      <t>、</t>
    </r>
    <r>
      <rPr>
        <sz val="10"/>
        <color theme="1"/>
        <rFont val="Times New Roman"/>
        <family val="1"/>
      </rPr>
      <t>2020</t>
    </r>
    <r>
      <rPr>
        <sz val="10"/>
        <color theme="1"/>
        <rFont val="楷体"/>
        <family val="3"/>
        <charset val="134"/>
      </rPr>
      <t>年数据为当年人口普查数据推算数，其余年份（</t>
    </r>
    <r>
      <rPr>
        <sz val="10"/>
        <color theme="1"/>
        <rFont val="Times New Roman"/>
        <family val="1"/>
      </rPr>
      <t>1990</t>
    </r>
    <r>
      <rPr>
        <sz val="10"/>
        <color theme="1"/>
        <rFont val="楷体"/>
        <family val="3"/>
        <charset val="134"/>
      </rPr>
      <t>年及以后年份）数据为人口变动情况抽样调查推算数。</t>
    </r>
    <r>
      <rPr>
        <sz val="10"/>
        <color theme="1"/>
        <rFont val="Times New Roman"/>
        <family val="1"/>
      </rPr>
      <t>2. 2011-2019</t>
    </r>
    <r>
      <rPr>
        <sz val="10"/>
        <color theme="1"/>
        <rFont val="楷体"/>
        <family val="3"/>
        <charset val="134"/>
      </rPr>
      <t>年常住人口数据根据</t>
    </r>
    <r>
      <rPr>
        <sz val="10"/>
        <color theme="1"/>
        <rFont val="Times New Roman"/>
        <family val="1"/>
      </rPr>
      <t>2020</t>
    </r>
    <r>
      <rPr>
        <sz val="10"/>
        <color theme="1"/>
        <rFont val="楷体"/>
        <family val="3"/>
        <charset val="134"/>
      </rPr>
      <t>年第七次全国人口普查结果进行了修订。</t>
    </r>
    <phoneticPr fontId="3" type="noConversion"/>
  </si>
  <si>
    <r>
      <rPr>
        <b/>
        <sz val="12"/>
        <color theme="1"/>
        <rFont val="楷体"/>
        <family val="3"/>
        <charset val="134"/>
      </rPr>
      <t>表格中</t>
    </r>
    <r>
      <rPr>
        <b/>
        <sz val="12"/>
        <color theme="1"/>
        <rFont val="Times New Roman"/>
        <family val="1"/>
      </rPr>
      <t>1990~2024</t>
    </r>
    <r>
      <rPr>
        <b/>
        <sz val="12"/>
        <color theme="1"/>
        <rFont val="楷体"/>
        <family val="3"/>
        <charset val="134"/>
      </rPr>
      <t>年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数据来源于《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年青海省统计年鉴》中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常住人口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，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出生率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和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出生人口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来源于原始资料中对应数据。</t>
    </r>
    <r>
      <rPr>
        <b/>
        <sz val="12"/>
        <color theme="1"/>
        <rFont val="Times New Roman"/>
        <family val="1"/>
      </rPr>
      <t>1990</t>
    </r>
    <r>
      <rPr>
        <b/>
        <sz val="12"/>
        <color theme="1"/>
        <rFont val="楷体"/>
        <family val="3"/>
        <charset val="134"/>
      </rPr>
      <t>年以前数据来源于《</t>
    </r>
    <r>
      <rPr>
        <b/>
        <sz val="12"/>
        <color theme="1"/>
        <rFont val="Times New Roman"/>
        <family val="1"/>
      </rPr>
      <t>2008</t>
    </r>
    <r>
      <rPr>
        <b/>
        <sz val="12"/>
        <color theme="1"/>
        <rFont val="楷体"/>
        <family val="3"/>
        <charset val="134"/>
      </rPr>
      <t>年青海省统计年鉴》，其中各项数据来源于原始资料中对应数据。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年数据来源于《青海省国民经济和社会发展统计公报》，其中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数据来源于原始资料中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年末常住人口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，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出生率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来源于对应数据，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出生人口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通过公式计算得出。</t>
    </r>
    <phoneticPr fontId="3" type="noConversion"/>
  </si>
  <si>
    <r>
      <rPr>
        <b/>
        <sz val="12"/>
        <color theme="1"/>
        <rFont val="楷体"/>
        <family val="3"/>
        <charset val="134"/>
      </rPr>
      <t>出生人口计算公式：出生人口</t>
    </r>
    <r>
      <rPr>
        <b/>
        <sz val="12"/>
        <color theme="1"/>
        <rFont val="Times New Roman"/>
        <family val="1"/>
      </rPr>
      <t xml:space="preserve"> = [</t>
    </r>
    <r>
      <rPr>
        <b/>
        <sz val="12"/>
        <color theme="1"/>
        <rFont val="楷体"/>
        <family val="3"/>
        <charset val="134"/>
      </rPr>
      <t>（上年总人口数</t>
    </r>
    <r>
      <rPr>
        <b/>
        <sz val="12"/>
        <color theme="1"/>
        <rFont val="Times New Roman"/>
        <family val="1"/>
      </rPr>
      <t>+</t>
    </r>
    <r>
      <rPr>
        <b/>
        <sz val="12"/>
        <color theme="1"/>
        <rFont val="楷体"/>
        <family val="3"/>
        <charset val="134"/>
      </rPr>
      <t>当年总人口数）</t>
    </r>
    <r>
      <rPr>
        <b/>
        <sz val="12"/>
        <color theme="1"/>
        <rFont val="Times New Roman"/>
        <family val="1"/>
      </rPr>
      <t>/2]×</t>
    </r>
    <r>
      <rPr>
        <b/>
        <sz val="12"/>
        <color theme="1"/>
        <rFont val="楷体"/>
        <family val="3"/>
        <charset val="134"/>
      </rPr>
      <t>出生率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</si>
</sst>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_);[Red]\(0.0\)"/>
  </numFmts>
  <fonts count="11" x14ac:knownFonts="1">
    <font>
      <sz val="11"/>
      <color theme="1"/>
      <name val="等线"/>
      <family val="2"/>
      <scheme val="minor"/>
    </font>
    <font>
      <sz val="14"/>
      <color theme="1"/>
      <name val="Times New Roman"/>
      <family val="1"/>
    </font>
    <font>
      <sz val="14"/>
      <color theme="1"/>
      <name val="楷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4"/>
      <name val="Times New Roman"/>
      <family val="1"/>
    </font>
    <font>
      <sz val="10"/>
      <color theme="1"/>
      <name val="Times New Roman"/>
      <family val="1"/>
    </font>
    <font>
      <sz val="10"/>
      <color theme="1"/>
      <name val="楷体"/>
      <family val="3"/>
      <charset val="134"/>
    </font>
    <font>
      <b/>
      <sz val="12"/>
      <color theme="1"/>
      <name val="Times New Roman"/>
      <family val="1"/>
    </font>
    <font>
      <b/>
      <sz val="12"/>
      <color theme="1"/>
      <name val="楷体"/>
      <family val="3"/>
      <charset val="134"/>
    </font>
    <font>
      <b/>
      <sz val="12"/>
      <color theme="1"/>
      <name val="Times New Roman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8" fillId="0" borderId="0" xfId="0" applyFont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/>
    </xf>
    <xf numFmtId="176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wrapText="1"/>
    </xf>
    <xf numFmtId="177" fontId="1" fillId="0" borderId="1" xfId="0" applyNumberFormat="1" applyFont="1" applyBorder="1" applyAlignment="1">
      <alignment horizontal="right" wrapText="1"/>
    </xf>
    <xf numFmtId="49" fontId="5" fillId="2" borderId="1" xfId="0" applyNumberFormat="1" applyFont="1" applyFill="1" applyBorder="1" applyAlignment="1">
      <alignment horizontal="right" vertical="center" wrapText="1"/>
    </xf>
    <xf numFmtId="177" fontId="5" fillId="2" borderId="1" xfId="0" applyNumberFormat="1" applyFont="1" applyFill="1" applyBorder="1" applyAlignment="1">
      <alignment horizontal="right" vertical="center" wrapText="1"/>
    </xf>
    <xf numFmtId="2" fontId="5" fillId="2" borderId="1" xfId="0" applyNumberFormat="1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right" vertical="center" wrapText="1"/>
    </xf>
    <xf numFmtId="0" fontId="10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topLeftCell="A37" workbookViewId="0">
      <selection activeCell="D49" sqref="D49"/>
    </sheetView>
  </sheetViews>
  <sheetFormatPr defaultRowHeight="13.8" x14ac:dyDescent="0.25"/>
  <cols>
    <col min="2" max="2" width="21.21875" bestFit="1" customWidth="1"/>
    <col min="3" max="3" width="18.109375" bestFit="1" customWidth="1"/>
    <col min="4" max="4" width="24.109375" bestFit="1" customWidth="1"/>
  </cols>
  <sheetData>
    <row r="1" spans="1:4" ht="18.600000000000001" x14ac:dyDescent="0.25">
      <c r="A1" s="4" t="s">
        <v>0</v>
      </c>
      <c r="B1" s="4" t="s">
        <v>2</v>
      </c>
      <c r="C1" s="4" t="s">
        <v>1</v>
      </c>
      <c r="D1" s="5" t="s">
        <v>3</v>
      </c>
    </row>
    <row r="2" spans="1:4" ht="18" x14ac:dyDescent="0.35">
      <c r="A2" s="6">
        <v>1978</v>
      </c>
      <c r="B2" s="7">
        <v>364.86</v>
      </c>
      <c r="C2" s="6"/>
      <c r="D2" s="7"/>
    </row>
    <row r="3" spans="1:4" ht="18" x14ac:dyDescent="0.35">
      <c r="A3" s="6">
        <v>1979</v>
      </c>
      <c r="B3" s="7">
        <v>372.02</v>
      </c>
      <c r="C3" s="6"/>
      <c r="D3" s="7"/>
    </row>
    <row r="4" spans="1:4" ht="18" x14ac:dyDescent="0.35">
      <c r="A4" s="6">
        <v>1980</v>
      </c>
      <c r="B4" s="7">
        <v>376.9</v>
      </c>
      <c r="C4" s="6"/>
      <c r="D4" s="7"/>
    </row>
    <row r="5" spans="1:4" ht="18" x14ac:dyDescent="0.35">
      <c r="A5" s="6">
        <v>1981</v>
      </c>
      <c r="B5" s="7">
        <v>381.6</v>
      </c>
      <c r="C5" s="6"/>
      <c r="D5" s="7"/>
    </row>
    <row r="6" spans="1:4" ht="18" x14ac:dyDescent="0.35">
      <c r="A6" s="6">
        <v>1982</v>
      </c>
      <c r="B6" s="7">
        <v>392.79</v>
      </c>
      <c r="C6" s="6"/>
      <c r="D6" s="7"/>
    </row>
    <row r="7" spans="1:4" ht="18" x14ac:dyDescent="0.35">
      <c r="A7" s="6">
        <v>1983</v>
      </c>
      <c r="B7" s="7">
        <v>392.57</v>
      </c>
      <c r="C7" s="6"/>
      <c r="D7" s="7"/>
    </row>
    <row r="8" spans="1:4" ht="18" x14ac:dyDescent="0.35">
      <c r="A8" s="6">
        <v>1984</v>
      </c>
      <c r="B8" s="7">
        <v>401.61</v>
      </c>
      <c r="C8" s="6">
        <v>26.15</v>
      </c>
      <c r="D8" s="7">
        <v>9.4352999999999998</v>
      </c>
    </row>
    <row r="9" spans="1:4" ht="18" x14ac:dyDescent="0.35">
      <c r="A9" s="6">
        <v>1985</v>
      </c>
      <c r="B9" s="7">
        <v>407.38</v>
      </c>
      <c r="C9" s="6">
        <v>14.24</v>
      </c>
      <c r="D9" s="7">
        <v>5.7470999999999997</v>
      </c>
    </row>
    <row r="10" spans="1:4" ht="18" x14ac:dyDescent="0.35">
      <c r="A10" s="6">
        <v>1986</v>
      </c>
      <c r="B10" s="7">
        <v>421.12</v>
      </c>
      <c r="C10" s="6">
        <v>24.94</v>
      </c>
      <c r="D10" s="7">
        <v>10.4186</v>
      </c>
    </row>
    <row r="11" spans="1:4" ht="18" x14ac:dyDescent="0.35">
      <c r="A11" s="6">
        <v>1987</v>
      </c>
      <c r="B11" s="7">
        <v>427.9</v>
      </c>
      <c r="C11" s="6">
        <v>22.59</v>
      </c>
      <c r="D11" s="7">
        <v>9.5897000000000006</v>
      </c>
    </row>
    <row r="12" spans="1:4" ht="18" x14ac:dyDescent="0.35">
      <c r="A12" s="6">
        <v>1988</v>
      </c>
      <c r="B12" s="7">
        <v>434.2</v>
      </c>
      <c r="C12" s="6">
        <v>24.33</v>
      </c>
      <c r="D12" s="7">
        <v>10.4894</v>
      </c>
    </row>
    <row r="13" spans="1:4" ht="18" x14ac:dyDescent="0.35">
      <c r="A13" s="6">
        <v>1989</v>
      </c>
      <c r="B13" s="7">
        <v>440.2</v>
      </c>
      <c r="C13" s="6">
        <v>23.66</v>
      </c>
      <c r="D13" s="7">
        <v>10.380100000000001</v>
      </c>
    </row>
    <row r="14" spans="1:4" ht="18" x14ac:dyDescent="0.25">
      <c r="A14" s="8">
        <v>1990</v>
      </c>
      <c r="B14" s="9">
        <v>447.66</v>
      </c>
      <c r="C14" s="10">
        <v>24.34</v>
      </c>
      <c r="D14" s="9">
        <v>10.805199999999999</v>
      </c>
    </row>
    <row r="15" spans="1:4" ht="18" x14ac:dyDescent="0.25">
      <c r="A15" s="8">
        <v>1991</v>
      </c>
      <c r="B15" s="9">
        <v>454.43</v>
      </c>
      <c r="C15" s="10">
        <v>23.37</v>
      </c>
      <c r="D15" s="9">
        <v>10.540900000000001</v>
      </c>
    </row>
    <row r="16" spans="1:4" ht="18" x14ac:dyDescent="0.25">
      <c r="A16" s="8">
        <v>1992</v>
      </c>
      <c r="B16" s="9">
        <v>461.02</v>
      </c>
      <c r="C16" s="10">
        <v>22.54</v>
      </c>
      <c r="D16" s="9">
        <v>10.3171</v>
      </c>
    </row>
    <row r="17" spans="1:4" ht="18" x14ac:dyDescent="0.25">
      <c r="A17" s="8">
        <v>1993</v>
      </c>
      <c r="B17" s="9">
        <v>466.7</v>
      </c>
      <c r="C17" s="10">
        <v>20.5</v>
      </c>
      <c r="D17" s="9">
        <v>9.5091000000000001</v>
      </c>
    </row>
    <row r="18" spans="1:4" ht="18" x14ac:dyDescent="0.25">
      <c r="A18" s="8">
        <v>1994</v>
      </c>
      <c r="B18" s="9">
        <v>474</v>
      </c>
      <c r="C18" s="10">
        <v>22.06</v>
      </c>
      <c r="D18" s="9">
        <v>10.3759</v>
      </c>
    </row>
    <row r="19" spans="1:4" ht="18" x14ac:dyDescent="0.25">
      <c r="A19" s="8">
        <v>1995</v>
      </c>
      <c r="B19" s="9">
        <v>481.2</v>
      </c>
      <c r="C19" s="10">
        <v>22.01</v>
      </c>
      <c r="D19" s="9">
        <v>10.5</v>
      </c>
    </row>
    <row r="20" spans="1:4" ht="18" x14ac:dyDescent="0.25">
      <c r="A20" s="8">
        <v>1996</v>
      </c>
      <c r="B20" s="9">
        <v>488.3</v>
      </c>
      <c r="C20" s="10">
        <v>21.89</v>
      </c>
      <c r="D20" s="9">
        <v>10.6</v>
      </c>
    </row>
    <row r="21" spans="1:4" ht="18" x14ac:dyDescent="0.25">
      <c r="A21" s="8">
        <v>1997</v>
      </c>
      <c r="B21" s="9">
        <v>495.6</v>
      </c>
      <c r="C21" s="10">
        <v>21.8</v>
      </c>
      <c r="D21" s="9">
        <v>10.7</v>
      </c>
    </row>
    <row r="22" spans="1:4" ht="18" x14ac:dyDescent="0.25">
      <c r="A22" s="8">
        <v>1998</v>
      </c>
      <c r="B22" s="9">
        <v>502.8</v>
      </c>
      <c r="C22" s="10">
        <v>21.26</v>
      </c>
      <c r="D22" s="9">
        <v>10.613</v>
      </c>
    </row>
    <row r="23" spans="1:4" ht="18" x14ac:dyDescent="0.25">
      <c r="A23" s="8">
        <v>1999</v>
      </c>
      <c r="B23" s="9">
        <v>509.8</v>
      </c>
      <c r="C23" s="10">
        <v>20.68</v>
      </c>
      <c r="D23" s="9">
        <v>10.4703</v>
      </c>
    </row>
    <row r="24" spans="1:4" ht="18" x14ac:dyDescent="0.25">
      <c r="A24" s="8">
        <v>2000</v>
      </c>
      <c r="B24" s="9">
        <v>516.5</v>
      </c>
      <c r="C24" s="10">
        <v>19.25</v>
      </c>
      <c r="D24" s="9">
        <v>9.8780999999999999</v>
      </c>
    </row>
    <row r="25" spans="1:4" ht="18" x14ac:dyDescent="0.25">
      <c r="A25" s="8">
        <v>2001</v>
      </c>
      <c r="B25" s="9">
        <v>523.1</v>
      </c>
      <c r="C25" s="10">
        <v>19.059999999999999</v>
      </c>
      <c r="D25" s="9">
        <v>9.9074000000000009</v>
      </c>
    </row>
    <row r="26" spans="1:4" ht="18" x14ac:dyDescent="0.25">
      <c r="A26" s="8">
        <v>2002</v>
      </c>
      <c r="B26" s="9">
        <v>528.6</v>
      </c>
      <c r="C26" s="10">
        <v>18.05</v>
      </c>
      <c r="D26" s="9">
        <v>9.4916</v>
      </c>
    </row>
    <row r="27" spans="1:4" ht="18" x14ac:dyDescent="0.25">
      <c r="A27" s="8">
        <v>2003</v>
      </c>
      <c r="B27" s="9">
        <v>533.79999999999995</v>
      </c>
      <c r="C27" s="10">
        <v>16.940000000000001</v>
      </c>
      <c r="D27" s="9">
        <v>8.9984999999999999</v>
      </c>
    </row>
    <row r="28" spans="1:4" ht="18" x14ac:dyDescent="0.25">
      <c r="A28" s="8">
        <v>2004</v>
      </c>
      <c r="B28" s="9">
        <v>538.6</v>
      </c>
      <c r="C28" s="10">
        <v>16.32</v>
      </c>
      <c r="D28" s="9">
        <v>8.7507999999999999</v>
      </c>
    </row>
    <row r="29" spans="1:4" ht="18" x14ac:dyDescent="0.25">
      <c r="A29" s="8">
        <v>2005</v>
      </c>
      <c r="B29" s="9">
        <v>543.20000000000005</v>
      </c>
      <c r="C29" s="10">
        <v>15.7</v>
      </c>
      <c r="D29" s="9">
        <v>8.4921000000000006</v>
      </c>
    </row>
    <row r="30" spans="1:4" ht="18" x14ac:dyDescent="0.25">
      <c r="A30" s="8">
        <v>2006</v>
      </c>
      <c r="B30" s="9">
        <v>547.70000000000005</v>
      </c>
      <c r="C30" s="10">
        <v>15.24</v>
      </c>
      <c r="D30" s="9">
        <v>8.3126999999999995</v>
      </c>
    </row>
    <row r="31" spans="1:4" ht="18" x14ac:dyDescent="0.25">
      <c r="A31" s="8">
        <v>2007</v>
      </c>
      <c r="B31" s="9">
        <v>551.6</v>
      </c>
      <c r="C31" s="10">
        <v>14.93</v>
      </c>
      <c r="D31" s="9">
        <v>8.2063000000000006</v>
      </c>
    </row>
    <row r="32" spans="1:4" ht="18" x14ac:dyDescent="0.25">
      <c r="A32" s="8">
        <v>2008</v>
      </c>
      <c r="B32" s="9">
        <v>554.29999999999995</v>
      </c>
      <c r="C32" s="10">
        <v>14.49</v>
      </c>
      <c r="D32" s="9">
        <v>8.0122</v>
      </c>
    </row>
    <row r="33" spans="1:4" ht="18" x14ac:dyDescent="0.25">
      <c r="A33" s="8">
        <v>2009</v>
      </c>
      <c r="B33" s="9">
        <v>557.29999999999995</v>
      </c>
      <c r="C33" s="10">
        <v>14.51</v>
      </c>
      <c r="D33" s="9">
        <v>8.0647000000000002</v>
      </c>
    </row>
    <row r="34" spans="1:4" ht="18" x14ac:dyDescent="0.25">
      <c r="A34" s="8">
        <v>2010</v>
      </c>
      <c r="B34" s="9">
        <v>563.47</v>
      </c>
      <c r="C34" s="10">
        <v>14.94</v>
      </c>
      <c r="D34" s="9">
        <v>8.3720999999999997</v>
      </c>
    </row>
    <row r="35" spans="1:4" ht="18" x14ac:dyDescent="0.25">
      <c r="A35" s="8">
        <v>2011</v>
      </c>
      <c r="B35" s="9">
        <v>568.15</v>
      </c>
      <c r="C35" s="10">
        <v>14.43</v>
      </c>
      <c r="D35" s="9">
        <v>8.1647999999999996</v>
      </c>
    </row>
    <row r="36" spans="1:4" ht="18" x14ac:dyDescent="0.25">
      <c r="A36" s="8">
        <v>2012</v>
      </c>
      <c r="B36" s="9">
        <v>570.77</v>
      </c>
      <c r="C36" s="10">
        <v>14.3</v>
      </c>
      <c r="D36" s="9">
        <v>8.1606000000000005</v>
      </c>
    </row>
    <row r="37" spans="1:4" ht="18" x14ac:dyDescent="0.25">
      <c r="A37" s="8">
        <v>2013</v>
      </c>
      <c r="B37" s="9">
        <v>571.15</v>
      </c>
      <c r="C37" s="10">
        <v>14.16</v>
      </c>
      <c r="D37" s="9">
        <v>8.1487999999999996</v>
      </c>
    </row>
    <row r="38" spans="1:4" ht="18" x14ac:dyDescent="0.25">
      <c r="A38" s="8">
        <v>2014</v>
      </c>
      <c r="B38" s="9">
        <v>575.83000000000004</v>
      </c>
      <c r="C38" s="10">
        <v>14.67</v>
      </c>
      <c r="D38" s="9">
        <v>8.5122999999999998</v>
      </c>
    </row>
    <row r="39" spans="1:4" ht="18" x14ac:dyDescent="0.25">
      <c r="A39" s="8">
        <v>2015</v>
      </c>
      <c r="B39" s="9">
        <v>576.86</v>
      </c>
      <c r="C39" s="10">
        <v>14.72</v>
      </c>
      <c r="D39" s="9">
        <v>8.6248000000000005</v>
      </c>
    </row>
    <row r="40" spans="1:4" ht="18" x14ac:dyDescent="0.25">
      <c r="A40" s="8">
        <v>2016</v>
      </c>
      <c r="B40" s="9">
        <v>581.88</v>
      </c>
      <c r="C40" s="10">
        <v>14.7</v>
      </c>
      <c r="D40" s="9">
        <v>8.6868999999999996</v>
      </c>
    </row>
    <row r="41" spans="1:4" ht="18" x14ac:dyDescent="0.25">
      <c r="A41" s="8">
        <v>2017</v>
      </c>
      <c r="B41" s="9">
        <v>586.49</v>
      </c>
      <c r="C41" s="10">
        <v>14.42</v>
      </c>
      <c r="D41" s="9">
        <v>8.5931999999999995</v>
      </c>
    </row>
    <row r="42" spans="1:4" ht="18" x14ac:dyDescent="0.25">
      <c r="A42" s="11">
        <v>2018</v>
      </c>
      <c r="B42" s="9">
        <v>587.32000000000005</v>
      </c>
      <c r="C42" s="10">
        <v>14.31</v>
      </c>
      <c r="D42" s="9">
        <v>8.5975195499999995</v>
      </c>
    </row>
    <row r="43" spans="1:4" ht="18" x14ac:dyDescent="0.25">
      <c r="A43" s="11">
        <v>2019</v>
      </c>
      <c r="B43" s="9">
        <v>590.44000000000005</v>
      </c>
      <c r="C43" s="10">
        <v>13.66</v>
      </c>
      <c r="D43" s="9">
        <v>8.2714999999999996</v>
      </c>
    </row>
    <row r="44" spans="1:4" ht="18" x14ac:dyDescent="0.25">
      <c r="A44" s="11">
        <v>2020</v>
      </c>
      <c r="B44" s="9">
        <v>592.79</v>
      </c>
      <c r="C44" s="10">
        <v>11.43</v>
      </c>
      <c r="D44" s="9">
        <v>6.8</v>
      </c>
    </row>
    <row r="45" spans="1:4" ht="18" x14ac:dyDescent="0.25">
      <c r="A45" s="11">
        <v>2021</v>
      </c>
      <c r="B45" s="9">
        <v>594</v>
      </c>
      <c r="C45" s="10">
        <v>11.22</v>
      </c>
      <c r="D45" s="9">
        <v>6.7</v>
      </c>
    </row>
    <row r="46" spans="1:4" ht="18" x14ac:dyDescent="0.25">
      <c r="A46" s="11">
        <v>2022</v>
      </c>
      <c r="B46" s="9">
        <v>595</v>
      </c>
      <c r="C46" s="10">
        <v>10.6</v>
      </c>
      <c r="D46" s="9">
        <v>6.3</v>
      </c>
    </row>
    <row r="47" spans="1:4" ht="18" x14ac:dyDescent="0.25">
      <c r="A47" s="8">
        <v>2023</v>
      </c>
      <c r="B47" s="9">
        <v>594</v>
      </c>
      <c r="C47" s="10">
        <v>9.25</v>
      </c>
      <c r="D47" s="9">
        <v>5.5</v>
      </c>
    </row>
    <row r="48" spans="1:4" ht="18" x14ac:dyDescent="0.25">
      <c r="A48" s="11">
        <v>2024</v>
      </c>
      <c r="B48" s="9">
        <v>593</v>
      </c>
      <c r="C48" s="10">
        <v>10.11</v>
      </c>
      <c r="D48" s="9">
        <v>6</v>
      </c>
    </row>
    <row r="49" spans="1:4" ht="18" x14ac:dyDescent="0.35">
      <c r="A49" s="6">
        <v>2025</v>
      </c>
      <c r="B49" s="7">
        <v>592</v>
      </c>
      <c r="C49" s="6">
        <v>8.27</v>
      </c>
      <c r="D49" s="7">
        <f>(B48+B49)/2*C49/1000</f>
        <v>4.8999749999999995</v>
      </c>
    </row>
    <row r="50" spans="1:4" ht="45.6" customHeight="1" x14ac:dyDescent="0.25">
      <c r="A50" s="3" t="s">
        <v>4</v>
      </c>
      <c r="B50" s="3"/>
      <c r="C50" s="3"/>
      <c r="D50" s="3"/>
    </row>
    <row r="51" spans="1:4" ht="18" x14ac:dyDescent="0.35">
      <c r="A51" s="1"/>
      <c r="B51" s="1"/>
      <c r="C51" s="1"/>
      <c r="D51" s="1"/>
    </row>
    <row r="52" spans="1:4" ht="105.6" customHeight="1" x14ac:dyDescent="0.25">
      <c r="A52" s="2" t="s">
        <v>5</v>
      </c>
      <c r="B52" s="2"/>
      <c r="C52" s="2"/>
      <c r="D52" s="2"/>
    </row>
    <row r="53" spans="1:4" ht="40.200000000000003" customHeight="1" x14ac:dyDescent="0.25">
      <c r="A53" s="12" t="s">
        <v>6</v>
      </c>
      <c r="B53" s="2"/>
      <c r="C53" s="2"/>
      <c r="D53" s="2"/>
    </row>
  </sheetData>
  <mergeCells count="3">
    <mergeCell ref="A52:D52"/>
    <mergeCell ref="A53:D53"/>
    <mergeCell ref="A50:D50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2015-06-05T18:19:34Z</dcterms:created>
  <dcterms:modified xsi:type="dcterms:W3CDTF">2026-09-29T07:40:03Z</dcterms:modified>
</cp:coreProperties>
</file>